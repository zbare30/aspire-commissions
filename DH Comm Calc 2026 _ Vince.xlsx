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aspirefinancial.sharepoint.com/Aspire/Aspire Management/Financial Docs/2026/Commissions/"/>
    </mc:Choice>
  </mc:AlternateContent>
  <xr:revisionPtr revIDLastSave="303" documentId="8_{D6F32A68-CC84-4B98-BC69-2E4A38513F9C}" xr6:coauthVersionLast="47" xr6:coauthVersionMax="47" xr10:uidLastSave="{8BE2E3F6-9056-493D-B93B-5419A9F59CB7}"/>
  <bookViews>
    <workbookView xWindow="28680" yWindow="-60" windowWidth="29040" windowHeight="15720" activeTab="4" xr2:uid="{22311B61-5484-4239-A6F4-7A198FD1AD3E}"/>
  </bookViews>
  <sheets>
    <sheet name="Inputs" sheetId="1" r:id="rId1"/>
    <sheet name="Totals" sheetId="2" r:id="rId2"/>
    <sheet name="DH Comm Calc" sheetId="9" r:id="rId3"/>
    <sheet name="Staffing Comm Calc" sheetId="11" r:id="rId4"/>
    <sheet name="Payroll Rec" sheetId="10" r:id="rId5"/>
    <sheet name="Commission Formula" sheetId="5" state="hidden" r:id="rId6"/>
  </sheets>
  <definedNames>
    <definedName name="_xlnm._FilterDatabase" localSheetId="0" hidden="1">Inputs!$A$14:$L$90</definedName>
    <definedName name="_xlnm.Print_Area" localSheetId="0">Inputs!$A$1:$L$14</definedName>
    <definedName name="_xlnm.Print_Area" localSheetId="4">'Payroll Rec'!$A$1:$K$39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L21" i="1"/>
  <c r="K21" i="1"/>
  <c r="J21" i="1"/>
  <c r="H21" i="1"/>
  <c r="G18" i="1"/>
  <c r="L20" i="1"/>
  <c r="K20" i="1"/>
  <c r="J20" i="1"/>
  <c r="H20" i="1"/>
  <c r="L19" i="1"/>
  <c r="K19" i="1"/>
  <c r="J19" i="1"/>
  <c r="H19" i="1"/>
  <c r="K18" i="1"/>
  <c r="J18" i="1"/>
  <c r="H18" i="1"/>
  <c r="L18" i="1" s="1"/>
  <c r="B17" i="11"/>
  <c r="I33" i="11"/>
  <c r="H33" i="11"/>
  <c r="F33" i="11"/>
  <c r="K17" i="1"/>
  <c r="K16" i="1"/>
  <c r="L17" i="1"/>
  <c r="L16" i="1"/>
  <c r="J17" i="1"/>
  <c r="H17" i="1"/>
  <c r="H16" i="1"/>
  <c r="G17" i="1"/>
  <c r="G16" i="1"/>
  <c r="E20" i="11"/>
  <c r="E21" i="11"/>
  <c r="E22" i="11"/>
  <c r="E23" i="11"/>
  <c r="G23" i="11" s="1"/>
  <c r="E24" i="11"/>
  <c r="E25" i="11"/>
  <c r="W17" i="10" s="1"/>
  <c r="E26" i="11"/>
  <c r="Y17" i="10" s="1"/>
  <c r="E27" i="11"/>
  <c r="C9" i="1"/>
  <c r="N34" i="10"/>
  <c r="P34" i="10"/>
  <c r="C2" i="10"/>
  <c r="C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Z34" i="10"/>
  <c r="X34" i="10"/>
  <c r="A15" i="2"/>
  <c r="B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D25" i="2"/>
  <c r="E25" i="2"/>
  <c r="C29" i="10"/>
  <c r="C34" i="10" s="1"/>
  <c r="C36" i="10" s="1"/>
  <c r="C39" i="10" s="1"/>
  <c r="D29" i="10"/>
  <c r="D26" i="10"/>
  <c r="E26" i="10"/>
  <c r="F26" i="10"/>
  <c r="F29" i="10"/>
  <c r="G26" i="10"/>
  <c r="H26" i="10"/>
  <c r="H29" i="10"/>
  <c r="I26" i="10"/>
  <c r="J26" i="10"/>
  <c r="K26" i="10"/>
  <c r="L26" i="10"/>
  <c r="M26" i="10"/>
  <c r="N26" i="10"/>
  <c r="O26" i="10"/>
  <c r="P26" i="10"/>
  <c r="Q26" i="10"/>
  <c r="R26" i="10"/>
  <c r="R29" i="10"/>
  <c r="S26" i="10"/>
  <c r="T26" i="10"/>
  <c r="T29" i="10"/>
  <c r="U26" i="10"/>
  <c r="V26" i="10"/>
  <c r="W26" i="10"/>
  <c r="X26" i="10"/>
  <c r="Y26" i="10"/>
  <c r="Z26" i="10"/>
  <c r="Z29" i="10"/>
  <c r="AA26" i="10"/>
  <c r="C21" i="10"/>
  <c r="C26" i="10"/>
  <c r="D21" i="10"/>
  <c r="C44" i="2"/>
  <c r="C41" i="2"/>
  <c r="C42" i="2"/>
  <c r="C40" i="2"/>
  <c r="C39" i="2"/>
  <c r="C38" i="2"/>
  <c r="B28" i="11"/>
  <c r="C10" i="1" s="1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B29" i="2"/>
  <c r="B30" i="2"/>
  <c r="B31" i="2"/>
  <c r="B32" i="2"/>
  <c r="B33" i="2"/>
  <c r="B34" i="2"/>
  <c r="B35" i="2"/>
  <c r="B36" i="2"/>
  <c r="C37" i="2"/>
  <c r="E15" i="2"/>
  <c r="K15" i="2" s="1"/>
  <c r="E16" i="2"/>
  <c r="E17" i="2"/>
  <c r="E18" i="2"/>
  <c r="E19" i="2"/>
  <c r="E20" i="2"/>
  <c r="E21" i="2"/>
  <c r="E22" i="2"/>
  <c r="E23" i="2"/>
  <c r="E24" i="2"/>
  <c r="E26" i="2"/>
  <c r="E27" i="2"/>
  <c r="E28" i="2"/>
  <c r="E29" i="2"/>
  <c r="E30" i="2"/>
  <c r="E31" i="2"/>
  <c r="E32" i="2"/>
  <c r="E33" i="2"/>
  <c r="E34" i="2"/>
  <c r="E35" i="2"/>
  <c r="D15" i="2"/>
  <c r="S15" i="2" s="1"/>
  <c r="D16" i="2"/>
  <c r="D17" i="2"/>
  <c r="D18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C29" i="2"/>
  <c r="C30" i="2"/>
  <c r="C34" i="2"/>
  <c r="C35" i="2"/>
  <c r="E21" i="10"/>
  <c r="F21" i="10"/>
  <c r="G21" i="10"/>
  <c r="H21" i="10"/>
  <c r="I21" i="10"/>
  <c r="C25" i="11"/>
  <c r="D35" i="2"/>
  <c r="D36" i="2"/>
  <c r="D37" i="2"/>
  <c r="D38" i="2"/>
  <c r="D39" i="2"/>
  <c r="C48" i="2"/>
  <c r="C56" i="2"/>
  <c r="C60" i="2"/>
  <c r="C66" i="2"/>
  <c r="C71" i="2"/>
  <c r="C73" i="2"/>
  <c r="F22" i="11"/>
  <c r="G22" i="11"/>
  <c r="C21" i="11"/>
  <c r="C20" i="11"/>
  <c r="AA21" i="10"/>
  <c r="E36" i="2"/>
  <c r="B37" i="2"/>
  <c r="E37" i="2"/>
  <c r="B38" i="2"/>
  <c r="E38" i="2"/>
  <c r="B39" i="2"/>
  <c r="E39" i="2"/>
  <c r="B40" i="2"/>
  <c r="D40" i="2"/>
  <c r="E40" i="2"/>
  <c r="B41" i="2"/>
  <c r="D41" i="2"/>
  <c r="E41" i="2"/>
  <c r="B42" i="2"/>
  <c r="D42" i="2"/>
  <c r="E42" i="2"/>
  <c r="B43" i="2"/>
  <c r="D43" i="2"/>
  <c r="E43" i="2"/>
  <c r="B44" i="2"/>
  <c r="D44" i="2"/>
  <c r="E44" i="2"/>
  <c r="B45" i="2"/>
  <c r="D45" i="2"/>
  <c r="E45" i="2"/>
  <c r="B46" i="2"/>
  <c r="D46" i="2"/>
  <c r="E46" i="2"/>
  <c r="B47" i="2"/>
  <c r="D47" i="2"/>
  <c r="E47" i="2"/>
  <c r="B48" i="2"/>
  <c r="D48" i="2"/>
  <c r="E48" i="2"/>
  <c r="B49" i="2"/>
  <c r="D49" i="2"/>
  <c r="E49" i="2"/>
  <c r="B50" i="2"/>
  <c r="D50" i="2"/>
  <c r="E50" i="2"/>
  <c r="A51" i="2"/>
  <c r="B51" i="2"/>
  <c r="D51" i="2"/>
  <c r="E51" i="2"/>
  <c r="A52" i="2"/>
  <c r="B52" i="2"/>
  <c r="D52" i="2"/>
  <c r="E52" i="2"/>
  <c r="A53" i="2"/>
  <c r="B53" i="2"/>
  <c r="D53" i="2"/>
  <c r="E53" i="2"/>
  <c r="A54" i="2"/>
  <c r="B54" i="2"/>
  <c r="D54" i="2"/>
  <c r="E54" i="2"/>
  <c r="A55" i="2"/>
  <c r="B55" i="2"/>
  <c r="D55" i="2"/>
  <c r="E55" i="2"/>
  <c r="A56" i="2"/>
  <c r="B56" i="2"/>
  <c r="D56" i="2"/>
  <c r="E56" i="2"/>
  <c r="A57" i="2"/>
  <c r="B57" i="2"/>
  <c r="D57" i="2"/>
  <c r="E57" i="2"/>
  <c r="A58" i="2"/>
  <c r="B58" i="2"/>
  <c r="D58" i="2"/>
  <c r="E58" i="2"/>
  <c r="A59" i="2"/>
  <c r="B59" i="2"/>
  <c r="D59" i="2"/>
  <c r="E59" i="2"/>
  <c r="A60" i="2"/>
  <c r="B60" i="2"/>
  <c r="D60" i="2"/>
  <c r="E60" i="2"/>
  <c r="A61" i="2"/>
  <c r="B61" i="2"/>
  <c r="D61" i="2"/>
  <c r="E61" i="2"/>
  <c r="A62" i="2"/>
  <c r="B62" i="2"/>
  <c r="D62" i="2"/>
  <c r="E62" i="2"/>
  <c r="A63" i="2"/>
  <c r="B63" i="2"/>
  <c r="D63" i="2"/>
  <c r="E63" i="2"/>
  <c r="A64" i="2"/>
  <c r="B64" i="2"/>
  <c r="D64" i="2"/>
  <c r="E64" i="2"/>
  <c r="A65" i="2"/>
  <c r="B65" i="2"/>
  <c r="D65" i="2"/>
  <c r="E65" i="2"/>
  <c r="A66" i="2"/>
  <c r="B66" i="2"/>
  <c r="D66" i="2"/>
  <c r="E66" i="2"/>
  <c r="A67" i="2"/>
  <c r="B67" i="2"/>
  <c r="D67" i="2"/>
  <c r="E67" i="2"/>
  <c r="A68" i="2"/>
  <c r="B68" i="2"/>
  <c r="D68" i="2"/>
  <c r="E68" i="2"/>
  <c r="A69" i="2"/>
  <c r="B69" i="2"/>
  <c r="D69" i="2"/>
  <c r="E69" i="2"/>
  <c r="A70" i="2"/>
  <c r="B70" i="2"/>
  <c r="D70" i="2"/>
  <c r="E70" i="2"/>
  <c r="A71" i="2"/>
  <c r="B71" i="2"/>
  <c r="D71" i="2"/>
  <c r="E71" i="2"/>
  <c r="A72" i="2"/>
  <c r="B72" i="2"/>
  <c r="D72" i="2"/>
  <c r="E72" i="2"/>
  <c r="A73" i="2"/>
  <c r="B73" i="2"/>
  <c r="D73" i="2"/>
  <c r="E73" i="2"/>
  <c r="A74" i="2"/>
  <c r="B74" i="2"/>
  <c r="D74" i="2"/>
  <c r="E74" i="2"/>
  <c r="A75" i="2"/>
  <c r="B75" i="2"/>
  <c r="D75" i="2"/>
  <c r="E75" i="2"/>
  <c r="A76" i="2"/>
  <c r="B76" i="2"/>
  <c r="D76" i="2"/>
  <c r="E76" i="2"/>
  <c r="A77" i="2"/>
  <c r="B77" i="2"/>
  <c r="D77" i="2"/>
  <c r="E77" i="2"/>
  <c r="C19" i="11"/>
  <c r="E19" i="11" s="1"/>
  <c r="C26" i="11"/>
  <c r="U17" i="10"/>
  <c r="C18" i="11"/>
  <c r="E18" i="11" s="1"/>
  <c r="B4" i="9"/>
  <c r="B4" i="11"/>
  <c r="B4" i="10"/>
  <c r="B4" i="2"/>
  <c r="B11" i="10"/>
  <c r="B10" i="10"/>
  <c r="B9" i="10"/>
  <c r="B8" i="10"/>
  <c r="C7" i="10"/>
  <c r="B7" i="10"/>
  <c r="C6" i="10"/>
  <c r="B6" i="10"/>
  <c r="C5" i="10"/>
  <c r="B5" i="10"/>
  <c r="B3" i="10"/>
  <c r="B2" i="10"/>
  <c r="B11" i="11"/>
  <c r="B10" i="11"/>
  <c r="B9" i="11"/>
  <c r="B8" i="11"/>
  <c r="C7" i="11"/>
  <c r="B7" i="11"/>
  <c r="C6" i="11"/>
  <c r="B6" i="11"/>
  <c r="C5" i="11"/>
  <c r="B5" i="11"/>
  <c r="C3" i="11"/>
  <c r="B3" i="11"/>
  <c r="C2" i="11"/>
  <c r="B2" i="11"/>
  <c r="B11" i="9"/>
  <c r="B10" i="9"/>
  <c r="B9" i="9"/>
  <c r="B8" i="9"/>
  <c r="C7" i="9"/>
  <c r="B7" i="9"/>
  <c r="C6" i="9"/>
  <c r="B6" i="9"/>
  <c r="C5" i="9"/>
  <c r="B5" i="9"/>
  <c r="C3" i="9"/>
  <c r="B3" i="9"/>
  <c r="C2" i="9"/>
  <c r="B2" i="9"/>
  <c r="C3" i="2"/>
  <c r="C5" i="2"/>
  <c r="C6" i="2"/>
  <c r="C7" i="2"/>
  <c r="C2" i="2"/>
  <c r="B3" i="2"/>
  <c r="B5" i="2"/>
  <c r="B6" i="2"/>
  <c r="B7" i="2"/>
  <c r="B8" i="2"/>
  <c r="B9" i="2"/>
  <c r="B10" i="2"/>
  <c r="B11" i="2"/>
  <c r="B2" i="2"/>
  <c r="B12" i="5"/>
  <c r="B13" i="5"/>
  <c r="B14" i="5"/>
  <c r="J21" i="10"/>
  <c r="J29" i="10"/>
  <c r="K21" i="10"/>
  <c r="L21" i="10"/>
  <c r="L29" i="10"/>
  <c r="M21" i="10"/>
  <c r="N21" i="10"/>
  <c r="N29" i="10"/>
  <c r="O21" i="10"/>
  <c r="P21" i="10"/>
  <c r="P29" i="10"/>
  <c r="Q21" i="10"/>
  <c r="R21" i="10"/>
  <c r="S21" i="10"/>
  <c r="T21" i="10"/>
  <c r="U21" i="10"/>
  <c r="V21" i="10"/>
  <c r="V29" i="10"/>
  <c r="W21" i="10"/>
  <c r="X21" i="10"/>
  <c r="X29" i="10"/>
  <c r="Y21" i="10"/>
  <c r="Z21" i="10"/>
  <c r="AB28" i="10"/>
  <c r="AB33" i="10"/>
  <c r="B2" i="5"/>
  <c r="B3" i="5"/>
  <c r="B4" i="5"/>
  <c r="B5" i="5"/>
  <c r="B6" i="5"/>
  <c r="B7" i="5"/>
  <c r="S17" i="10"/>
  <c r="F23" i="11"/>
  <c r="C23" i="11"/>
  <c r="C27" i="11"/>
  <c r="C24" i="11"/>
  <c r="G57" i="2"/>
  <c r="F25" i="11"/>
  <c r="G25" i="11" s="1"/>
  <c r="M65" i="2"/>
  <c r="C43" i="2"/>
  <c r="C47" i="2"/>
  <c r="C55" i="2"/>
  <c r="C68" i="2"/>
  <c r="C45" i="2"/>
  <c r="C49" i="2"/>
  <c r="C53" i="2"/>
  <c r="C61" i="2"/>
  <c r="C77" i="2"/>
  <c r="C50" i="2"/>
  <c r="C62" i="2"/>
  <c r="AB41" i="2"/>
  <c r="F20" i="11"/>
  <c r="G20" i="11" s="1"/>
  <c r="F21" i="11"/>
  <c r="G21" i="11" s="1"/>
  <c r="C17" i="11"/>
  <c r="E17" i="11" s="1"/>
  <c r="G17" i="10" s="1"/>
  <c r="C22" i="11"/>
  <c r="C72" i="2"/>
  <c r="AE52" i="2"/>
  <c r="AB69" i="2"/>
  <c r="C16" i="11"/>
  <c r="E16" i="11" s="1"/>
  <c r="AN27" i="2"/>
  <c r="C32" i="2"/>
  <c r="AH32" i="2"/>
  <c r="C33" i="2"/>
  <c r="S37" i="2"/>
  <c r="AK48" i="2"/>
  <c r="Y48" i="2"/>
  <c r="AC64" i="2"/>
  <c r="N45" i="2"/>
  <c r="AE53" i="2"/>
  <c r="W45" i="2"/>
  <c r="AH73" i="2"/>
  <c r="T64" i="2"/>
  <c r="J21" i="2"/>
  <c r="J39" i="2"/>
  <c r="AB27" i="2"/>
  <c r="S44" i="2"/>
  <c r="AB49" i="2"/>
  <c r="T69" i="2"/>
  <c r="J50" i="2"/>
  <c r="G53" i="2"/>
  <c r="AN55" i="2"/>
  <c r="T51" i="2"/>
  <c r="G51" i="2"/>
  <c r="M51" i="2"/>
  <c r="Z62" i="2"/>
  <c r="K62" i="2"/>
  <c r="N62" i="2"/>
  <c r="AN70" i="2"/>
  <c r="AO64" i="2"/>
  <c r="AI71" i="2"/>
  <c r="AO71" i="2"/>
  <c r="J66" i="2"/>
  <c r="P70" i="2"/>
  <c r="AL51" i="2"/>
  <c r="S77" i="2"/>
  <c r="Y71" i="2"/>
  <c r="V56" i="2"/>
  <c r="Q52" i="2"/>
  <c r="W53" i="2"/>
  <c r="AN77" i="2"/>
  <c r="J52" i="2"/>
  <c r="AC53" i="2"/>
  <c r="AK55" i="2"/>
  <c r="J56" i="2"/>
  <c r="AN63" i="2"/>
  <c r="J53" i="2"/>
  <c r="M57" i="2"/>
  <c r="V57" i="2"/>
  <c r="K34" i="2"/>
  <c r="N34" i="2"/>
  <c r="Q34" i="2"/>
  <c r="Y31" i="2"/>
  <c r="AH31" i="2"/>
  <c r="Q24" i="2"/>
  <c r="AI24" i="2"/>
  <c r="AE24" i="2"/>
  <c r="AK24" i="2"/>
  <c r="H33" i="2"/>
  <c r="AF37" i="2"/>
  <c r="N18" i="2"/>
  <c r="AI37" i="2"/>
  <c r="W37" i="2"/>
  <c r="J24" i="2"/>
  <c r="P24" i="2"/>
  <c r="T37" i="2"/>
  <c r="K37" i="2"/>
  <c r="AF33" i="2"/>
  <c r="G23" i="2"/>
  <c r="H32" i="2"/>
  <c r="AF17" i="2"/>
  <c r="M29" i="2"/>
  <c r="C36" i="2"/>
  <c r="W31" i="2"/>
  <c r="J35" i="2"/>
  <c r="AK29" i="2"/>
  <c r="Y29" i="2"/>
  <c r="Y22" i="2"/>
  <c r="AH22" i="2"/>
  <c r="K32" i="2"/>
  <c r="J22" i="2"/>
  <c r="Y23" i="2"/>
  <c r="P22" i="2"/>
  <c r="AB30" i="2"/>
  <c r="AH23" i="2"/>
  <c r="AE22" i="2"/>
  <c r="T32" i="2"/>
  <c r="W32" i="2"/>
  <c r="AC24" i="2"/>
  <c r="V23" i="2"/>
  <c r="Z32" i="2"/>
  <c r="V35" i="2"/>
  <c r="AK39" i="2"/>
  <c r="AE43" i="2"/>
  <c r="V39" i="2"/>
  <c r="S28" i="2"/>
  <c r="AB43" i="2"/>
  <c r="F26" i="11"/>
  <c r="G26" i="11"/>
  <c r="AL75" i="2"/>
  <c r="M30" i="2"/>
  <c r="AI20" i="2"/>
  <c r="N26" i="2"/>
  <c r="AF73" i="2"/>
  <c r="C59" i="2"/>
  <c r="J68" i="2"/>
  <c r="Z75" i="2"/>
  <c r="P68" i="2"/>
  <c r="AL59" i="2"/>
  <c r="AH30" i="2"/>
  <c r="W75" i="2"/>
  <c r="H20" i="2"/>
  <c r="Q26" i="2"/>
  <c r="AI59" i="2"/>
  <c r="Q73" i="2"/>
  <c r="K59" i="2"/>
  <c r="AF49" i="2"/>
  <c r="T49" i="2"/>
  <c r="H73" i="2"/>
  <c r="Q59" i="2"/>
  <c r="AC59" i="2"/>
  <c r="H59" i="2"/>
  <c r="N75" i="2"/>
  <c r="T75" i="2"/>
  <c r="Z73" i="2"/>
  <c r="AO59" i="2"/>
  <c r="G34" i="2"/>
  <c r="N73" i="2"/>
  <c r="AF59" i="2"/>
  <c r="AN30" i="2"/>
  <c r="V61" i="2"/>
  <c r="H26" i="2"/>
  <c r="K20" i="2"/>
  <c r="AI42" i="2"/>
  <c r="AL36" i="2"/>
  <c r="AC36" i="2"/>
  <c r="AO36" i="2"/>
  <c r="C76" i="2"/>
  <c r="C57" i="2"/>
  <c r="Z66" i="2"/>
  <c r="AO66" i="2"/>
  <c r="AC66" i="2"/>
  <c r="W66" i="2"/>
  <c r="N65" i="2"/>
  <c r="T44" i="2"/>
  <c r="AI44" i="2"/>
  <c r="K45" i="2"/>
  <c r="Q45" i="2"/>
  <c r="AF45" i="2"/>
  <c r="T45" i="2"/>
  <c r="J40" i="2"/>
  <c r="AN40" i="2"/>
  <c r="C64" i="2"/>
  <c r="AK72" i="2"/>
  <c r="V72" i="2"/>
  <c r="AN72" i="2"/>
  <c r="AE72" i="2"/>
  <c r="M72" i="2"/>
  <c r="AH72" i="2"/>
  <c r="P71" i="2"/>
  <c r="AH71" i="2"/>
  <c r="J71" i="2"/>
  <c r="AO69" i="2"/>
  <c r="AC69" i="2"/>
  <c r="Q69" i="2"/>
  <c r="Z69" i="2"/>
  <c r="AC68" i="2"/>
  <c r="Q60" i="2"/>
  <c r="AI60" i="2"/>
  <c r="H60" i="2"/>
  <c r="N60" i="2"/>
  <c r="AF60" i="2"/>
  <c r="N48" i="2"/>
  <c r="AO48" i="2"/>
  <c r="T48" i="2"/>
  <c r="Z48" i="2"/>
  <c r="K47" i="2"/>
  <c r="K46" i="2"/>
  <c r="AL46" i="2"/>
  <c r="AO46" i="2"/>
  <c r="AF46" i="2"/>
  <c r="AB42" i="2"/>
  <c r="C70" i="2"/>
  <c r="C46" i="2"/>
  <c r="AO77" i="2"/>
  <c r="Q76" i="2"/>
  <c r="K76" i="2"/>
  <c r="AC76" i="2"/>
  <c r="Y61" i="2"/>
  <c r="AE61" i="2"/>
  <c r="M61" i="2"/>
  <c r="J61" i="2"/>
  <c r="M46" i="2"/>
  <c r="AB46" i="2"/>
  <c r="C65" i="2"/>
  <c r="M28" i="2"/>
  <c r="N38" i="2"/>
  <c r="AC38" i="2"/>
  <c r="C58" i="2"/>
  <c r="AE32" i="2"/>
  <c r="Y32" i="2"/>
  <c r="M32" i="2"/>
  <c r="V32" i="2"/>
  <c r="G32" i="2"/>
  <c r="Y76" i="2"/>
  <c r="AH76" i="2"/>
  <c r="AK36" i="2"/>
  <c r="AH36" i="2"/>
  <c r="AB36" i="2"/>
  <c r="AE36" i="2"/>
  <c r="J36" i="2"/>
  <c r="Y36" i="2"/>
  <c r="AN36" i="2"/>
  <c r="G36" i="2"/>
  <c r="C52" i="2"/>
  <c r="G28" i="2"/>
  <c r="AH28" i="2"/>
  <c r="V28" i="2"/>
  <c r="Y28" i="2"/>
  <c r="AE28" i="2"/>
  <c r="V64" i="2"/>
  <c r="N50" i="2"/>
  <c r="AE63" i="2"/>
  <c r="P59" i="2"/>
  <c r="Z71" i="2"/>
  <c r="K50" i="2"/>
  <c r="AH46" i="2"/>
  <c r="C31" i="2"/>
  <c r="AB31" i="2"/>
  <c r="T27" i="2"/>
  <c r="AB63" i="2"/>
  <c r="AB59" i="2"/>
  <c r="AK75" i="2"/>
  <c r="AI50" i="2"/>
  <c r="AC56" i="2"/>
  <c r="AC71" i="2"/>
  <c r="AL34" i="2"/>
  <c r="M47" i="2"/>
  <c r="AB47" i="2"/>
  <c r="AK35" i="2"/>
  <c r="AB29" i="2"/>
  <c r="AE76" i="2"/>
  <c r="J76" i="2"/>
  <c r="AF65" i="2"/>
  <c r="Z65" i="2"/>
  <c r="AE60" i="2"/>
  <c r="AE38" i="2"/>
  <c r="N21" i="2"/>
  <c r="G49" i="2"/>
  <c r="AO28" i="2"/>
  <c r="Y77" i="2"/>
  <c r="AO74" i="2"/>
  <c r="S57" i="2"/>
  <c r="C67" i="2"/>
  <c r="AK37" i="2"/>
  <c r="Q28" i="2"/>
  <c r="T63" i="2"/>
  <c r="AB60" i="2"/>
  <c r="AC74" i="2"/>
  <c r="AF74" i="2"/>
  <c r="AO65" i="2"/>
  <c r="P43" i="2"/>
  <c r="J49" i="2"/>
  <c r="AF21" i="2"/>
  <c r="V60" i="2"/>
  <c r="T74" i="2"/>
  <c r="P76" i="2"/>
  <c r="W74" i="2"/>
  <c r="G43" i="2"/>
  <c r="AN49" i="2"/>
  <c r="AC21" i="2"/>
  <c r="T59" i="2"/>
  <c r="G60" i="2"/>
  <c r="AL58" i="2"/>
  <c r="AN76" i="2"/>
  <c r="W65" i="2"/>
  <c r="S43" i="2"/>
  <c r="AL32" i="2"/>
  <c r="V49" i="2"/>
  <c r="W28" i="2"/>
  <c r="W21" i="2"/>
  <c r="AF28" i="2"/>
  <c r="P27" i="2"/>
  <c r="AB76" i="2"/>
  <c r="H74" i="2"/>
  <c r="AL16" i="2"/>
  <c r="Y49" i="2"/>
  <c r="M49" i="2"/>
  <c r="Z28" i="2"/>
  <c r="AH67" i="2"/>
  <c r="AN60" i="2"/>
  <c r="M60" i="2"/>
  <c r="K74" i="2"/>
  <c r="Q65" i="2"/>
  <c r="H65" i="2"/>
  <c r="AF58" i="2"/>
  <c r="S49" i="2"/>
  <c r="P49" i="2"/>
  <c r="AO21" i="2"/>
  <c r="AL21" i="2"/>
  <c r="AH63" i="2"/>
  <c r="P60" i="2"/>
  <c r="Z63" i="2"/>
  <c r="K65" i="2"/>
  <c r="AH49" i="2"/>
  <c r="M63" i="2"/>
  <c r="P66" i="2"/>
  <c r="V43" i="2"/>
  <c r="C51" i="2"/>
  <c r="Q61" i="2"/>
  <c r="T42" i="2"/>
  <c r="M24" i="2"/>
  <c r="AI33" i="2"/>
  <c r="Q46" i="2"/>
  <c r="AF53" i="2"/>
  <c r="N53" i="2"/>
  <c r="AL53" i="2"/>
  <c r="K53" i="2"/>
  <c r="AO53" i="2"/>
  <c r="Z53" i="2"/>
  <c r="H53" i="2"/>
  <c r="W51" i="2"/>
  <c r="H51" i="2"/>
  <c r="AO51" i="2"/>
  <c r="C69" i="2"/>
  <c r="C63" i="2"/>
  <c r="W61" i="2"/>
  <c r="AO61" i="2"/>
  <c r="AF61" i="2"/>
  <c r="K61" i="2"/>
  <c r="Z61" i="2"/>
  <c r="T61" i="2"/>
  <c r="AC61" i="2"/>
  <c r="K40" i="2"/>
  <c r="AL40" i="2"/>
  <c r="AI40" i="2"/>
  <c r="T40" i="2"/>
  <c r="H42" i="2"/>
  <c r="N42" i="2"/>
  <c r="W42" i="2"/>
  <c r="AC42" i="2"/>
  <c r="AO42" i="2"/>
  <c r="AF42" i="2"/>
  <c r="H40" i="2"/>
  <c r="AH55" i="2"/>
  <c r="V55" i="2"/>
  <c r="J55" i="2"/>
  <c r="Y55" i="2"/>
  <c r="M55" i="2"/>
  <c r="AE55" i="2"/>
  <c r="AB55" i="2"/>
  <c r="C75" i="2"/>
  <c r="AO40" i="2"/>
  <c r="AO72" i="2"/>
  <c r="AI72" i="2"/>
  <c r="W72" i="2"/>
  <c r="Z72" i="2"/>
  <c r="AL72" i="2"/>
  <c r="N72" i="2"/>
  <c r="AF72" i="2"/>
  <c r="H72" i="2"/>
  <c r="N58" i="2"/>
  <c r="AC58" i="2"/>
  <c r="H58" i="2"/>
  <c r="AO58" i="2"/>
  <c r="AI58" i="2"/>
  <c r="W58" i="2"/>
  <c r="Q58" i="2"/>
  <c r="Q40" i="2"/>
  <c r="Y74" i="2"/>
  <c r="S74" i="2"/>
  <c r="AB74" i="2"/>
  <c r="P74" i="2"/>
  <c r="M74" i="2"/>
  <c r="G74" i="2"/>
  <c r="AH38" i="2"/>
  <c r="AB38" i="2"/>
  <c r="G38" i="2"/>
  <c r="AN38" i="2"/>
  <c r="P38" i="2"/>
  <c r="AK38" i="2"/>
  <c r="AN44" i="2"/>
  <c r="T28" i="2"/>
  <c r="G31" i="2"/>
  <c r="AC28" i="2"/>
  <c r="T39" i="2"/>
  <c r="Z57" i="2"/>
  <c r="T73" i="2"/>
  <c r="Y62" i="2"/>
  <c r="P58" i="2"/>
  <c r="AN67" i="2"/>
  <c r="S59" i="2"/>
  <c r="H52" i="2"/>
  <c r="AK67" i="2"/>
  <c r="Z52" i="2"/>
  <c r="S53" i="2"/>
  <c r="J75" i="2"/>
  <c r="Y51" i="2"/>
  <c r="H57" i="2"/>
  <c r="G44" i="2"/>
  <c r="G40" i="2"/>
  <c r="AE20" i="2"/>
  <c r="N28" i="2"/>
  <c r="AF48" i="2"/>
  <c r="AI57" i="2"/>
  <c r="Z70" i="2"/>
  <c r="AI73" i="2"/>
  <c r="C54" i="2"/>
  <c r="S67" i="2"/>
  <c r="AE75" i="2"/>
  <c r="Y75" i="2"/>
  <c r="G67" i="2"/>
  <c r="V58" i="2"/>
  <c r="W63" i="2"/>
  <c r="M59" i="2"/>
  <c r="T54" i="2"/>
  <c r="S58" i="2"/>
  <c r="Y67" i="2"/>
  <c r="AF57" i="2"/>
  <c r="K57" i="2"/>
  <c r="AF70" i="2"/>
  <c r="N70" i="2"/>
  <c r="W57" i="2"/>
  <c r="N52" i="2"/>
  <c r="K54" i="2"/>
  <c r="AB67" i="2"/>
  <c r="G58" i="2"/>
  <c r="AE58" i="2"/>
  <c r="AC63" i="2"/>
  <c r="AI52" i="2"/>
  <c r="V44" i="2"/>
  <c r="T57" i="2"/>
  <c r="N57" i="2"/>
  <c r="C74" i="2"/>
  <c r="AE67" i="2"/>
  <c r="AE59" i="2"/>
  <c r="P67" i="2"/>
  <c r="AL52" i="2"/>
  <c r="V34" i="10"/>
  <c r="R34" i="10"/>
  <c r="F34" i="10"/>
  <c r="H34" i="10"/>
  <c r="T34" i="10"/>
  <c r="T56" i="2"/>
  <c r="AK77" i="2"/>
  <c r="P55" i="2"/>
  <c r="P48" i="2"/>
  <c r="AL43" i="2"/>
  <c r="J74" i="2"/>
  <c r="AO24" i="2"/>
  <c r="G68" i="2"/>
  <c r="S33" i="2"/>
  <c r="AI22" i="2"/>
  <c r="M27" i="2"/>
  <c r="AC19" i="2"/>
  <c r="AN41" i="2"/>
  <c r="AI76" i="2"/>
  <c r="M54" i="2"/>
  <c r="AN52" i="2"/>
  <c r="AO43" i="2"/>
  <c r="K55" i="2"/>
  <c r="G41" i="2"/>
  <c r="S65" i="2"/>
  <c r="AN71" i="2"/>
  <c r="AH65" i="2"/>
  <c r="G76" i="2"/>
  <c r="AN74" i="2"/>
  <c r="H71" i="2"/>
  <c r="AN61" i="2"/>
  <c r="K58" i="2"/>
  <c r="AL50" i="2"/>
  <c r="AN47" i="2"/>
  <c r="N43" i="2"/>
  <c r="AK20" i="2"/>
  <c r="W33" i="2"/>
  <c r="AC70" i="2"/>
  <c r="AF50" i="2"/>
  <c r="AL69" i="2"/>
  <c r="V73" i="2"/>
  <c r="AI70" i="2"/>
  <c r="AL65" i="2"/>
  <c r="AI54" i="2"/>
  <c r="AK49" i="2"/>
  <c r="AO45" i="2"/>
  <c r="N37" i="2"/>
  <c r="M34" i="2"/>
  <c r="AH24" i="2"/>
  <c r="N23" i="2"/>
  <c r="W50" i="2"/>
  <c r="M37" i="2"/>
  <c r="H77" i="2"/>
  <c r="V75" i="2"/>
  <c r="V70" i="2"/>
  <c r="AL67" i="2"/>
  <c r="AF62" i="2"/>
  <c r="J57" i="2"/>
  <c r="P54" i="2"/>
  <c r="AO37" i="2"/>
  <c r="J38" i="2"/>
  <c r="G33" i="2"/>
  <c r="S23" i="2"/>
  <c r="T30" i="2"/>
  <c r="AC22" i="2"/>
  <c r="M77" i="2"/>
  <c r="M67" i="2"/>
  <c r="W59" i="2"/>
  <c r="AF51" i="2"/>
  <c r="AC48" i="2"/>
  <c r="G45" i="2"/>
  <c r="K41" i="2"/>
  <c r="AH37" i="2"/>
  <c r="AH33" i="2"/>
  <c r="J23" i="2"/>
  <c r="N29" i="2"/>
  <c r="K21" i="2"/>
  <c r="T43" i="2"/>
  <c r="W55" i="2"/>
  <c r="T26" i="2"/>
  <c r="AO57" i="2"/>
  <c r="N71" i="2"/>
  <c r="H29" i="2"/>
  <c r="P77" i="2"/>
  <c r="AN58" i="2"/>
  <c r="Q72" i="2"/>
  <c r="AE62" i="2"/>
  <c r="J51" i="2"/>
  <c r="AH41" i="2"/>
  <c r="M36" i="2"/>
  <c r="G22" i="2"/>
  <c r="H28" i="2"/>
  <c r="AE71" i="2"/>
  <c r="AF71" i="2"/>
  <c r="N69" i="2"/>
  <c r="J72" i="2"/>
  <c r="AF69" i="2"/>
  <c r="AH59" i="2"/>
  <c r="AI56" i="2"/>
  <c r="H44" i="2"/>
  <c r="S35" i="2"/>
  <c r="AK31" i="2"/>
  <c r="AL20" i="2"/>
  <c r="AO29" i="2"/>
  <c r="T58" i="2"/>
  <c r="K52" i="2"/>
  <c r="AH57" i="2"/>
  <c r="G69" i="2"/>
  <c r="K64" i="2"/>
  <c r="P56" i="2"/>
  <c r="Y53" i="2"/>
  <c r="H47" i="2"/>
  <c r="AK44" i="2"/>
  <c r="W40" i="2"/>
  <c r="AE30" i="2"/>
  <c r="M21" i="2"/>
  <c r="AC35" i="2"/>
  <c r="W27" i="2"/>
  <c r="H19" i="2"/>
  <c r="AB21" i="2"/>
  <c r="AH39" i="2"/>
  <c r="AE69" i="2"/>
  <c r="AO67" i="2"/>
  <c r="AH56" i="2"/>
  <c r="Z43" i="2"/>
  <c r="V50" i="2"/>
  <c r="AE41" i="2"/>
  <c r="G62" i="2"/>
  <c r="AC27" i="2"/>
  <c r="H50" i="2"/>
  <c r="AE57" i="2"/>
  <c r="AF76" i="2"/>
  <c r="AO76" i="2"/>
  <c r="AL74" i="2"/>
  <c r="T66" i="2"/>
  <c r="Y64" i="2"/>
  <c r="AL61" i="2"/>
  <c r="Z50" i="2"/>
  <c r="AE47" i="2"/>
  <c r="AH29" i="2"/>
  <c r="AF34" i="2"/>
  <c r="AF26" i="2"/>
  <c r="AI68" i="2"/>
  <c r="AH62" i="2"/>
  <c r="AO70" i="2"/>
  <c r="K63" i="2"/>
  <c r="W70" i="2"/>
  <c r="T70" i="2"/>
  <c r="AH74" i="2"/>
  <c r="N61" i="2"/>
  <c r="Y63" i="2"/>
  <c r="AB64" i="2"/>
  <c r="AH61" i="2"/>
  <c r="AL77" i="2"/>
  <c r="AL68" i="2"/>
  <c r="S72" i="2"/>
  <c r="G61" i="2"/>
  <c r="P57" i="2"/>
  <c r="AK63" i="2"/>
  <c r="AK66" i="2"/>
  <c r="AE70" i="2"/>
  <c r="Z76" i="2"/>
  <c r="Q67" i="2"/>
  <c r="Y69" i="2"/>
  <c r="H70" i="2"/>
  <c r="AK62" i="2"/>
  <c r="AE65" i="2"/>
  <c r="M75" i="2"/>
  <c r="AN65" i="2"/>
  <c r="M66" i="2"/>
  <c r="G73" i="2"/>
  <c r="M64" i="2"/>
  <c r="W77" i="2"/>
  <c r="AO68" i="2"/>
  <c r="AC77" i="2"/>
  <c r="T77" i="2"/>
  <c r="AB66" i="2"/>
  <c r="AF68" i="2"/>
  <c r="S66" i="2"/>
  <c r="AK59" i="2"/>
  <c r="AB57" i="2"/>
  <c r="N77" i="2"/>
  <c r="G64" i="2"/>
  <c r="T68" i="2"/>
  <c r="AB75" i="2"/>
  <c r="J62" i="2"/>
  <c r="P72" i="2"/>
  <c r="AB70" i="2"/>
  <c r="Y57" i="2"/>
  <c r="P64" i="2"/>
  <c r="AF77" i="2"/>
  <c r="N68" i="2"/>
  <c r="J64" i="2"/>
  <c r="AH75" i="2"/>
  <c r="G63" i="2"/>
  <c r="W68" i="2"/>
  <c r="G75" i="2"/>
  <c r="AK73" i="2"/>
  <c r="AI77" i="2"/>
  <c r="AH64" i="2"/>
  <c r="AH66" i="2"/>
  <c r="P73" i="2"/>
  <c r="K68" i="2"/>
  <c r="T67" i="2"/>
  <c r="H76" i="2"/>
  <c r="AN64" i="2"/>
  <c r="Z68" i="2"/>
  <c r="P65" i="2"/>
  <c r="Z67" i="2"/>
  <c r="AI67" i="2"/>
  <c r="AK70" i="2"/>
  <c r="P75" i="2"/>
  <c r="V65" i="2"/>
  <c r="N56" i="2"/>
  <c r="V62" i="2"/>
  <c r="AB73" i="2"/>
  <c r="AN73" i="2"/>
  <c r="H68" i="2"/>
  <c r="K77" i="2"/>
  <c r="Q77" i="2"/>
  <c r="Y72" i="2"/>
  <c r="Y70" i="2"/>
  <c r="W67" i="2"/>
  <c r="S62" i="2"/>
  <c r="S63" i="2"/>
  <c r="Y58" i="2"/>
  <c r="AE64" i="2"/>
  <c r="Y73" i="2"/>
  <c r="AE66" i="2"/>
  <c r="Y59" i="2"/>
  <c r="Y65" i="2"/>
  <c r="J70" i="2"/>
  <c r="K67" i="2"/>
  <c r="P62" i="2"/>
  <c r="M62" i="2"/>
  <c r="S73" i="2"/>
  <c r="AB62" i="2"/>
  <c r="AN75" i="2"/>
  <c r="AB61" i="2"/>
  <c r="W76" i="2"/>
  <c r="S61" i="2"/>
  <c r="M70" i="2"/>
  <c r="AN69" i="2"/>
  <c r="AN62" i="2"/>
  <c r="T23" i="2"/>
  <c r="AI30" i="2"/>
  <c r="AC30" i="2"/>
  <c r="AL38" i="2"/>
  <c r="AL39" i="2"/>
  <c r="K51" i="2"/>
  <c r="Z47" i="2"/>
  <c r="Q22" i="2"/>
  <c r="W38" i="2"/>
  <c r="N44" i="2"/>
  <c r="AK33" i="2"/>
  <c r="AE45" i="2"/>
  <c r="Q51" i="2"/>
  <c r="AN26" i="2"/>
  <c r="AF22" i="2"/>
  <c r="AE33" i="2"/>
  <c r="H22" i="2"/>
  <c r="AI19" i="2"/>
  <c r="AO27" i="2"/>
  <c r="AF35" i="2"/>
  <c r="AI39" i="2"/>
  <c r="Y33" i="2"/>
  <c r="AE50" i="2"/>
  <c r="AL48" i="2"/>
  <c r="Y54" i="2"/>
  <c r="AC50" i="2"/>
  <c r="T50" i="2"/>
  <c r="K30" i="2"/>
  <c r="P45" i="2"/>
  <c r="P51" i="2"/>
  <c r="M44" i="2"/>
  <c r="AK41" i="2"/>
  <c r="T34" i="2"/>
  <c r="M20" i="2"/>
  <c r="H23" i="2"/>
  <c r="AC51" i="2"/>
  <c r="N16" i="2"/>
  <c r="AC29" i="2"/>
  <c r="AO47" i="2"/>
  <c r="AF30" i="2"/>
  <c r="H38" i="2"/>
  <c r="Z44" i="2"/>
  <c r="AO49" i="2"/>
  <c r="Q49" i="2"/>
  <c r="AN34" i="2"/>
  <c r="Y34" i="2"/>
  <c r="Z51" i="2"/>
  <c r="J33" i="2"/>
  <c r="Q35" i="2"/>
  <c r="N41" i="2"/>
  <c r="T22" i="2"/>
  <c r="AI35" i="2"/>
  <c r="S54" i="2"/>
  <c r="AB33" i="2"/>
  <c r="W30" i="2"/>
  <c r="Z55" i="2"/>
  <c r="V31" i="2"/>
  <c r="AC20" i="2"/>
  <c r="P26" i="2"/>
  <c r="Q30" i="2"/>
  <c r="Y26" i="2"/>
  <c r="AC44" i="2"/>
  <c r="W47" i="2"/>
  <c r="AL54" i="2"/>
  <c r="T38" i="2"/>
  <c r="W44" i="2"/>
  <c r="AL49" i="2"/>
  <c r="K49" i="2"/>
  <c r="Y42" i="2"/>
  <c r="AF41" i="2"/>
  <c r="AK54" i="2"/>
  <c r="K22" i="2"/>
  <c r="AF23" i="2"/>
  <c r="N35" i="2"/>
  <c r="Q39" i="2"/>
  <c r="AF29" i="2"/>
  <c r="G26" i="2"/>
  <c r="AN46" i="2"/>
  <c r="AK40" i="2"/>
  <c r="Y45" i="2"/>
  <c r="S26" i="2"/>
  <c r="AC54" i="2"/>
  <c r="M45" i="2"/>
  <c r="Q44" i="2"/>
  <c r="N54" i="2"/>
  <c r="AO35" i="2"/>
  <c r="AL47" i="2"/>
  <c r="Q54" i="2"/>
  <c r="Q38" i="2"/>
  <c r="G42" i="2"/>
  <c r="AO44" i="2"/>
  <c r="AI49" i="2"/>
  <c r="S47" i="2"/>
  <c r="H49" i="2"/>
  <c r="J34" i="2"/>
  <c r="N49" i="2"/>
  <c r="AN19" i="2"/>
  <c r="AL44" i="2"/>
  <c r="J20" i="2"/>
  <c r="N51" i="2"/>
  <c r="J45" i="2"/>
  <c r="AL23" i="2"/>
  <c r="T35" i="2"/>
  <c r="Z22" i="2"/>
  <c r="G54" i="2"/>
  <c r="G20" i="2"/>
  <c r="AI29" i="2"/>
  <c r="W48" i="2"/>
  <c r="AE46" i="2"/>
  <c r="G37" i="2"/>
  <c r="G30" i="2"/>
  <c r="AN42" i="2"/>
  <c r="AO54" i="2"/>
  <c r="AO22" i="2"/>
  <c r="AF44" i="2"/>
  <c r="W54" i="2"/>
  <c r="N47" i="2"/>
  <c r="V42" i="2"/>
  <c r="AB34" i="2"/>
  <c r="AI41" i="2"/>
  <c r="AL30" i="2"/>
  <c r="T41" i="2"/>
  <c r="W23" i="2"/>
  <c r="N22" i="2"/>
  <c r="AN54" i="2"/>
  <c r="AE54" i="2"/>
  <c r="V54" i="2"/>
  <c r="AF39" i="2"/>
  <c r="Z29" i="2"/>
  <c r="T29" i="2"/>
  <c r="N30" i="2"/>
  <c r="AH34" i="2"/>
  <c r="AK42" i="2"/>
  <c r="Z54" i="2"/>
  <c r="Y47" i="2"/>
  <c r="T47" i="2"/>
  <c r="AH42" i="2"/>
  <c r="AC49" i="2"/>
  <c r="AI38" i="2"/>
  <c r="AE34" i="2"/>
  <c r="AC41" i="2"/>
  <c r="AI51" i="2"/>
  <c r="AO41" i="2"/>
  <c r="Q41" i="2"/>
  <c r="Z23" i="2"/>
  <c r="P20" i="2"/>
  <c r="AL35" i="2"/>
  <c r="W22" i="2"/>
  <c r="AC39" i="2"/>
  <c r="W43" i="2"/>
  <c r="Q55" i="2"/>
  <c r="Y41" i="2"/>
  <c r="K29" i="2"/>
  <c r="AO30" i="2"/>
  <c r="AO50" i="2"/>
  <c r="AN29" i="2"/>
  <c r="AC47" i="2"/>
  <c r="H54" i="2"/>
  <c r="AH47" i="2"/>
  <c r="S45" i="2"/>
  <c r="AO38" i="2"/>
  <c r="S42" i="2"/>
  <c r="AF47" i="2"/>
  <c r="H41" i="2"/>
  <c r="J54" i="2"/>
  <c r="Z41" i="2"/>
  <c r="M26" i="2"/>
  <c r="AC23" i="2"/>
  <c r="K35" i="2"/>
  <c r="AH54" i="2"/>
  <c r="H39" i="2"/>
  <c r="T55" i="2"/>
  <c r="AI55" i="2"/>
  <c r="Q29" i="2"/>
  <c r="AF55" i="2"/>
  <c r="AO23" i="2"/>
  <c r="Y20" i="2"/>
  <c r="S20" i="2"/>
  <c r="P47" i="2"/>
  <c r="J47" i="2"/>
  <c r="V47" i="2"/>
  <c r="Z38" i="2"/>
  <c r="P42" i="2"/>
  <c r="Q47" i="2"/>
  <c r="P34" i="2"/>
  <c r="AE42" i="2"/>
  <c r="G47" i="2"/>
  <c r="AL41" i="2"/>
  <c r="J41" i="2"/>
  <c r="W41" i="2"/>
  <c r="V26" i="2"/>
  <c r="K23" i="2"/>
  <c r="AN20" i="2"/>
  <c r="AH26" i="2"/>
  <c r="V20" i="2"/>
  <c r="AF43" i="2"/>
  <c r="AB45" i="2"/>
  <c r="K39" i="2"/>
  <c r="V41" i="2"/>
  <c r="AL29" i="2"/>
  <c r="H30" i="2"/>
  <c r="Z30" i="2"/>
  <c r="G46" i="2"/>
  <c r="AO39" i="2"/>
  <c r="AH20" i="2"/>
  <c r="N39" i="2"/>
  <c r="W39" i="2"/>
  <c r="AI16" i="2"/>
  <c r="J42" i="2"/>
  <c r="AI47" i="2"/>
  <c r="AK34" i="2"/>
  <c r="S34" i="2"/>
  <c r="AH45" i="2"/>
  <c r="AE26" i="2"/>
  <c r="AI23" i="2"/>
  <c r="AB20" i="2"/>
  <c r="V45" i="2"/>
  <c r="AC25" i="2"/>
  <c r="K25" i="2"/>
  <c r="AB25" i="2"/>
  <c r="J25" i="2"/>
  <c r="Z25" i="2"/>
  <c r="H25" i="2"/>
  <c r="T25" i="2"/>
  <c r="AK25" i="2"/>
  <c r="AL25" i="2"/>
  <c r="AI25" i="2"/>
  <c r="J58" i="2"/>
  <c r="AB58" i="2"/>
  <c r="AO52" i="2"/>
  <c r="AC52" i="2"/>
  <c r="W52" i="2"/>
  <c r="T52" i="2"/>
  <c r="AF52" i="2"/>
  <c r="AN66" i="2"/>
  <c r="V66" i="2"/>
  <c r="Y66" i="2"/>
  <c r="AF63" i="2"/>
  <c r="Q63" i="2"/>
  <c r="H63" i="2"/>
  <c r="Q71" i="2"/>
  <c r="AL71" i="2"/>
  <c r="K71" i="2"/>
  <c r="T71" i="2"/>
  <c r="W71" i="2"/>
  <c r="J63" i="2"/>
  <c r="V63" i="2"/>
  <c r="P63" i="2"/>
  <c r="V71" i="2"/>
  <c r="M71" i="2"/>
  <c r="AB71" i="2"/>
  <c r="AL57" i="2"/>
  <c r="AN68" i="2"/>
  <c r="S68" i="2"/>
  <c r="AH68" i="2"/>
  <c r="Y68" i="2"/>
  <c r="AB68" i="2"/>
  <c r="M68" i="2"/>
  <c r="N19" i="2"/>
  <c r="AL18" i="2"/>
  <c r="G65" i="2"/>
  <c r="AN45" i="2"/>
  <c r="V52" i="2"/>
  <c r="Q31" i="2"/>
  <c r="P69" i="2"/>
  <c r="AK69" i="2"/>
  <c r="S21" i="2"/>
  <c r="AL19" i="2"/>
  <c r="Q23" i="2"/>
  <c r="AL22" i="2"/>
  <c r="AE48" i="2"/>
  <c r="J44" i="2"/>
  <c r="H48" i="2"/>
  <c r="AE23" i="2"/>
  <c r="Y44" i="2"/>
  <c r="AB44" i="2"/>
  <c r="V37" i="2"/>
  <c r="T62" i="2"/>
  <c r="AE51" i="2"/>
  <c r="M52" i="2"/>
  <c r="W34" i="2"/>
  <c r="AN31" i="2"/>
  <c r="Y16" i="2"/>
  <c r="AC37" i="2"/>
  <c r="K24" i="2"/>
  <c r="AN22" i="2"/>
  <c r="AL17" i="2"/>
  <c r="AI31" i="2"/>
  <c r="AK22" i="2"/>
  <c r="V29" i="2"/>
  <c r="S39" i="2"/>
  <c r="AO20" i="2"/>
  <c r="AI75" i="2"/>
  <c r="Q20" i="2"/>
  <c r="AK61" i="2"/>
  <c r="Z36" i="2"/>
  <c r="N66" i="2"/>
  <c r="AF16" i="2"/>
  <c r="AK65" i="2"/>
  <c r="H55" i="2"/>
  <c r="P33" i="2"/>
  <c r="M56" i="2"/>
  <c r="AK52" i="2"/>
  <c r="AK21" i="2"/>
  <c r="W19" i="2"/>
  <c r="N20" i="2"/>
  <c r="V33" i="2"/>
  <c r="AL62" i="2"/>
  <c r="T19" i="2"/>
  <c r="AL37" i="2"/>
  <c r="AH51" i="2"/>
  <c r="P44" i="2"/>
  <c r="Y37" i="2"/>
  <c r="Q62" i="2"/>
  <c r="G77" i="2"/>
  <c r="J73" i="2"/>
  <c r="J59" i="2"/>
  <c r="H34" i="2"/>
  <c r="Y24" i="2"/>
  <c r="Z18" i="2"/>
  <c r="Q18" i="2"/>
  <c r="W17" i="2"/>
  <c r="G35" i="2"/>
  <c r="H24" i="2"/>
  <c r="AK23" i="2"/>
  <c r="AN23" i="2"/>
  <c r="AB22" i="2"/>
  <c r="M39" i="2"/>
  <c r="Y30" i="2"/>
  <c r="G19" i="2"/>
  <c r="AO75" i="2"/>
  <c r="K75" i="2"/>
  <c r="Q36" i="2"/>
  <c r="AF66" i="2"/>
  <c r="H45" i="2"/>
  <c r="K69" i="2"/>
  <c r="W60" i="2"/>
  <c r="AC46" i="2"/>
  <c r="S46" i="2"/>
  <c r="AK32" i="2"/>
  <c r="S36" i="2"/>
  <c r="AN28" i="2"/>
  <c r="Y46" i="2"/>
  <c r="G59" i="2"/>
  <c r="AF31" i="2"/>
  <c r="Y43" i="2"/>
  <c r="AN43" i="2"/>
  <c r="M43" i="2"/>
  <c r="AC65" i="2"/>
  <c r="S76" i="2"/>
  <c r="Q21" i="2"/>
  <c r="J67" i="2"/>
  <c r="AI53" i="2"/>
  <c r="N40" i="2"/>
  <c r="H61" i="2"/>
  <c r="Z42" i="2"/>
  <c r="Z58" i="2"/>
  <c r="V74" i="2"/>
  <c r="M38" i="2"/>
  <c r="AO55" i="2"/>
  <c r="S69" i="2"/>
  <c r="AB54" i="2"/>
  <c r="AH21" i="2"/>
  <c r="Z35" i="2"/>
  <c r="Q27" i="2"/>
  <c r="AN33" i="2"/>
  <c r="AH48" i="2"/>
  <c r="S60" i="2"/>
  <c r="AE44" i="2"/>
  <c r="AH44" i="2"/>
  <c r="N27" i="2"/>
  <c r="AE37" i="2"/>
  <c r="AC62" i="2"/>
  <c r="Q64" i="2"/>
  <c r="P53" i="2"/>
  <c r="AO34" i="2"/>
  <c r="H18" i="2"/>
  <c r="Q37" i="2"/>
  <c r="S29" i="2"/>
  <c r="AC32" i="2"/>
  <c r="AF32" i="2"/>
  <c r="Q32" i="2"/>
  <c r="G39" i="2"/>
  <c r="M19" i="2"/>
  <c r="K26" i="2"/>
  <c r="AF75" i="2"/>
  <c r="H75" i="2"/>
  <c r="P30" i="2"/>
  <c r="K36" i="2"/>
  <c r="K66" i="2"/>
  <c r="AC45" i="2"/>
  <c r="AI69" i="2"/>
  <c r="AI48" i="2"/>
  <c r="N46" i="2"/>
  <c r="AB32" i="2"/>
  <c r="V36" i="2"/>
  <c r="J28" i="2"/>
  <c r="Q50" i="2"/>
  <c r="J43" i="2"/>
  <c r="AF56" i="2"/>
  <c r="J60" i="2"/>
  <c r="AI21" i="2"/>
  <c r="Z21" i="2"/>
  <c r="AH43" i="2"/>
  <c r="H17" i="2"/>
  <c r="Z56" i="2"/>
  <c r="H56" i="2"/>
  <c r="AE21" i="2"/>
  <c r="Y56" i="2"/>
  <c r="S52" i="2"/>
  <c r="AN21" i="2"/>
  <c r="K27" i="2"/>
  <c r="AF27" i="2"/>
  <c r="AC72" i="2"/>
  <c r="Q57" i="2"/>
  <c r="P39" i="2"/>
  <c r="S56" i="2"/>
  <c r="AH52" i="2"/>
  <c r="P21" i="2"/>
  <c r="W35" i="2"/>
  <c r="S27" i="2"/>
  <c r="K70" i="2"/>
  <c r="AE39" i="2"/>
  <c r="Y38" i="2"/>
  <c r="P52" i="2"/>
  <c r="G56" i="2"/>
  <c r="K19" i="2"/>
  <c r="AK27" i="2"/>
  <c r="V48" i="2"/>
  <c r="J31" i="2"/>
  <c r="AH70" i="2"/>
  <c r="AO56" i="2"/>
  <c r="AE77" i="2"/>
  <c r="AL60" i="2"/>
  <c r="W64" i="2"/>
  <c r="AI34" i="2"/>
  <c r="S31" i="2"/>
  <c r="AE16" i="2"/>
  <c r="AN24" i="2"/>
  <c r="AL24" i="2"/>
  <c r="Z24" i="2"/>
  <c r="T24" i="2"/>
  <c r="N32" i="2"/>
  <c r="AB23" i="2"/>
  <c r="AB37" i="2"/>
  <c r="AC75" i="2"/>
  <c r="N59" i="2"/>
  <c r="Z20" i="2"/>
  <c r="H36" i="2"/>
  <c r="AI66" i="2"/>
  <c r="AI45" i="2"/>
  <c r="AB72" i="2"/>
  <c r="T60" i="2"/>
  <c r="K48" i="2"/>
  <c r="Z46" i="2"/>
  <c r="P61" i="2"/>
  <c r="K38" i="2"/>
  <c r="S32" i="2"/>
  <c r="P36" i="2"/>
  <c r="P28" i="2"/>
  <c r="AF54" i="2"/>
  <c r="AN39" i="2"/>
  <c r="AF38" i="2"/>
  <c r="Q75" i="2"/>
  <c r="W62" i="2"/>
  <c r="Q70" i="2"/>
  <c r="Q19" i="2"/>
  <c r="G52" i="2"/>
  <c r="AB52" i="2"/>
  <c r="Q16" i="2"/>
  <c r="AI27" i="2"/>
  <c r="V27" i="2"/>
  <c r="AF64" i="2"/>
  <c r="AO62" i="2"/>
  <c r="AB77" i="2"/>
  <c r="P23" i="2"/>
  <c r="V53" i="2"/>
  <c r="Q53" i="2"/>
  <c r="AL56" i="2"/>
  <c r="V77" i="2"/>
  <c r="AH53" i="2"/>
  <c r="AK45" i="2"/>
  <c r="AK57" i="2"/>
  <c r="Z34" i="2"/>
  <c r="P31" i="2"/>
  <c r="S24" i="2"/>
  <c r="V24" i="2"/>
  <c r="G24" i="2"/>
  <c r="N24" i="2"/>
  <c r="M23" i="2"/>
  <c r="S22" i="2"/>
  <c r="Q17" i="2"/>
  <c r="AL31" i="2"/>
  <c r="AF24" i="2"/>
  <c r="AC26" i="2"/>
  <c r="V22" i="2"/>
  <c r="W29" i="2"/>
  <c r="AE74" i="2"/>
  <c r="M33" i="2"/>
  <c r="Y52" i="2"/>
  <c r="G21" i="2"/>
  <c r="AL27" i="2"/>
  <c r="AE27" i="2"/>
  <c r="Z31" i="2"/>
  <c r="AL55" i="2"/>
  <c r="M41" i="2"/>
  <c r="T31" i="2"/>
  <c r="Y39" i="2"/>
  <c r="AE56" i="2"/>
  <c r="AC55" i="2"/>
  <c r="M69" i="2"/>
  <c r="AN35" i="2"/>
  <c r="Z27" i="2"/>
  <c r="Y27" i="2"/>
  <c r="P37" i="2"/>
  <c r="AO60" i="2"/>
  <c r="M48" i="2"/>
  <c r="AB51" i="2"/>
  <c r="S38" i="2"/>
  <c r="AI64" i="2"/>
  <c r="S51" i="2"/>
  <c r="J77" i="2"/>
  <c r="AN56" i="2"/>
  <c r="N67" i="2"/>
  <c r="M53" i="2"/>
  <c r="M31" i="2"/>
  <c r="AE35" i="2"/>
  <c r="M35" i="2"/>
  <c r="AF36" i="2"/>
  <c r="N31" i="2"/>
  <c r="AI32" i="2"/>
  <c r="K31" i="2"/>
  <c r="AB39" i="2"/>
  <c r="AF20" i="2"/>
  <c r="AK30" i="2"/>
  <c r="Z59" i="2"/>
  <c r="V30" i="2"/>
  <c r="AI36" i="2"/>
  <c r="H66" i="2"/>
  <c r="K44" i="2"/>
  <c r="G72" i="2"/>
  <c r="W69" i="2"/>
  <c r="Z60" i="2"/>
  <c r="AI46" i="2"/>
  <c r="H46" i="2"/>
  <c r="J32" i="2"/>
  <c r="M22" i="2"/>
  <c r="P32" i="2"/>
  <c r="AK28" i="2"/>
  <c r="AI74" i="2"/>
  <c r="T21" i="2"/>
  <c r="AK76" i="2"/>
  <c r="AI65" i="2"/>
  <c r="Q74" i="2"/>
  <c r="Y60" i="2"/>
  <c r="K28" i="2"/>
  <c r="T46" i="2"/>
  <c r="T53" i="2"/>
  <c r="AI61" i="2"/>
  <c r="Q42" i="2"/>
  <c r="T72" i="2"/>
  <c r="Z40" i="2"/>
  <c r="V38" i="2"/>
  <c r="AL70" i="2"/>
  <c r="V51" i="2"/>
  <c r="AO32" i="2"/>
  <c r="AK43" i="2"/>
  <c r="W24" i="2"/>
  <c r="AB65" i="2"/>
  <c r="V34" i="2"/>
  <c r="AL76" i="2"/>
  <c r="T76" i="2"/>
  <c r="N76" i="2"/>
  <c r="AL73" i="2"/>
  <c r="AO73" i="2"/>
  <c r="K73" i="2"/>
  <c r="V40" i="2"/>
  <c r="Y40" i="2"/>
  <c r="AH40" i="2"/>
  <c r="M40" i="2"/>
  <c r="N33" i="2"/>
  <c r="H27" i="2"/>
  <c r="AH69" i="2"/>
  <c r="S41" i="2"/>
  <c r="AK46" i="2"/>
  <c r="AK47" i="2"/>
  <c r="K43" i="2"/>
  <c r="Q43" i="2"/>
  <c r="AI43" i="2"/>
  <c r="AC43" i="2"/>
  <c r="Z39" i="2"/>
  <c r="AB50" i="2"/>
  <c r="J29" i="2"/>
  <c r="Z64" i="2"/>
  <c r="K42" i="2"/>
  <c r="AN53" i="2"/>
  <c r="G48" i="2"/>
  <c r="Q48" i="2"/>
  <c r="K56" i="2"/>
  <c r="S50" i="2"/>
  <c r="AH50" i="2"/>
  <c r="AK50" i="2"/>
  <c r="G50" i="2"/>
  <c r="Q33" i="2"/>
  <c r="AK26" i="2"/>
  <c r="AN50" i="2"/>
  <c r="T33" i="2"/>
  <c r="AO33" i="2"/>
  <c r="AC33" i="2"/>
  <c r="K33" i="2"/>
  <c r="Z33" i="2"/>
  <c r="W26" i="2"/>
  <c r="I17" i="10"/>
  <c r="F18" i="11"/>
  <c r="G18" i="11"/>
  <c r="F19" i="11"/>
  <c r="G19" i="11"/>
  <c r="AF15" i="2"/>
  <c r="AL15" i="2"/>
  <c r="T15" i="2"/>
  <c r="Q15" i="2"/>
  <c r="M16" i="2"/>
  <c r="W16" i="2"/>
  <c r="K17" i="2"/>
  <c r="T17" i="2"/>
  <c r="AO16" i="2"/>
  <c r="H16" i="2"/>
  <c r="Z17" i="2"/>
  <c r="AI17" i="2"/>
  <c r="O17" i="10"/>
  <c r="Y17" i="2"/>
  <c r="AH17" i="2"/>
  <c r="V17" i="2"/>
  <c r="AB17" i="2"/>
  <c r="M17" i="2"/>
  <c r="AE17" i="2"/>
  <c r="AK17" i="2"/>
  <c r="J17" i="2"/>
  <c r="AN17" i="2"/>
  <c r="P17" i="2"/>
  <c r="G17" i="2"/>
  <c r="Q17" i="10"/>
  <c r="K17" i="10"/>
  <c r="F24" i="11"/>
  <c r="G24" i="11"/>
  <c r="M17" i="10"/>
  <c r="G18" i="2"/>
  <c r="J19" i="2"/>
  <c r="AK19" i="2"/>
  <c r="Y19" i="2"/>
  <c r="AH19" i="2"/>
  <c r="Y18" i="2"/>
  <c r="V19" i="2"/>
  <c r="S19" i="2"/>
  <c r="Z19" i="2"/>
  <c r="AE19" i="2"/>
  <c r="AB19" i="2"/>
  <c r="J18" i="2"/>
  <c r="W46" i="2"/>
  <c r="AC60" i="2"/>
  <c r="G71" i="2"/>
  <c r="AE40" i="2"/>
  <c r="Q66" i="2"/>
  <c r="N36" i="2"/>
  <c r="S30" i="2"/>
  <c r="J30" i="2"/>
  <c r="V68" i="2"/>
  <c r="P35" i="2"/>
  <c r="AC17" i="2"/>
  <c r="AE29" i="2"/>
  <c r="H37" i="2"/>
  <c r="W18" i="2"/>
  <c r="N17" i="2"/>
  <c r="AK53" i="2"/>
  <c r="AK60" i="2"/>
  <c r="J37" i="2"/>
  <c r="M58" i="2"/>
  <c r="S48" i="2"/>
  <c r="AL33" i="2"/>
  <c r="AC67" i="2"/>
  <c r="Y50" i="2"/>
  <c r="AO18" i="2"/>
  <c r="N25" i="2"/>
  <c r="AH35" i="2"/>
  <c r="AB35" i="2"/>
  <c r="AI18" i="2"/>
  <c r="AC18" i="2"/>
  <c r="AC34" i="2"/>
  <c r="AL64" i="2"/>
  <c r="H69" i="2"/>
  <c r="AH77" i="2"/>
  <c r="AB53" i="2"/>
  <c r="J46" i="2"/>
  <c r="AN48" i="2"/>
  <c r="J26" i="2"/>
  <c r="S71" i="2"/>
  <c r="S55" i="2"/>
  <c r="Z49" i="2"/>
  <c r="AH25" i="2"/>
  <c r="S25" i="2"/>
  <c r="Q68" i="2"/>
  <c r="AH60" i="2"/>
  <c r="AB26" i="2"/>
  <c r="AF25" i="2"/>
  <c r="AN25" i="2"/>
  <c r="AC15" i="2"/>
  <c r="AE25" i="2"/>
  <c r="Y25" i="2"/>
  <c r="W25" i="2"/>
  <c r="AE73" i="2"/>
  <c r="S64" i="2"/>
  <c r="V59" i="2"/>
  <c r="M73" i="2"/>
  <c r="Z77" i="2"/>
  <c r="AK64" i="2"/>
  <c r="AN57" i="2"/>
  <c r="N63" i="2"/>
  <c r="P40" i="2"/>
  <c r="AF19" i="2"/>
  <c r="Z74" i="2"/>
  <c r="N64" i="2"/>
  <c r="AB48" i="2"/>
  <c r="S75" i="2"/>
  <c r="J65" i="2"/>
  <c r="M42" i="2"/>
  <c r="AL26" i="2"/>
  <c r="AK58" i="2"/>
  <c r="V21" i="2"/>
  <c r="AN51" i="2"/>
  <c r="AN59" i="2"/>
  <c r="V67" i="2"/>
  <c r="AO63" i="2"/>
  <c r="AL28" i="2"/>
  <c r="AL63" i="2"/>
  <c r="AK51" i="2"/>
  <c r="AK74" i="2"/>
  <c r="K72" i="2"/>
  <c r="G55" i="2"/>
  <c r="AF40" i="2"/>
  <c r="K18" i="2"/>
  <c r="V76" i="2"/>
  <c r="N74" i="2"/>
  <c r="AI28" i="2"/>
  <c r="H21" i="2"/>
  <c r="M76" i="2"/>
  <c r="AE49" i="2"/>
  <c r="Z26" i="2"/>
  <c r="W56" i="2"/>
  <c r="AB28" i="2"/>
  <c r="AN32" i="2"/>
  <c r="V46" i="2"/>
  <c r="K60" i="2"/>
  <c r="AK71" i="2"/>
  <c r="AB40" i="2"/>
  <c r="T65" i="2"/>
  <c r="W36" i="2"/>
  <c r="T20" i="2"/>
  <c r="W20" i="2"/>
  <c r="W73" i="2"/>
  <c r="AE68" i="2"/>
  <c r="G29" i="2"/>
  <c r="P29" i="2"/>
  <c r="H31" i="2"/>
  <c r="T18" i="2"/>
  <c r="AC40" i="2"/>
  <c r="AB24" i="2"/>
  <c r="AF67" i="2"/>
  <c r="G70" i="2"/>
  <c r="H64" i="2"/>
  <c r="J27" i="2"/>
  <c r="H62" i="2"/>
  <c r="AN37" i="2"/>
  <c r="H35" i="2"/>
  <c r="AC57" i="2"/>
  <c r="V25" i="2"/>
  <c r="S40" i="2"/>
  <c r="AL66" i="2"/>
  <c r="T36" i="2"/>
  <c r="AK68" i="2"/>
  <c r="AC73" i="2"/>
  <c r="AI26" i="2"/>
  <c r="AO31" i="2"/>
  <c r="Y35" i="2"/>
  <c r="AC31" i="2"/>
  <c r="Z37" i="2"/>
  <c r="AE31" i="2"/>
  <c r="H67" i="2"/>
  <c r="Q56" i="2"/>
  <c r="J48" i="2"/>
  <c r="AL45" i="2"/>
  <c r="AI62" i="2"/>
  <c r="AB56" i="2"/>
  <c r="P50" i="2"/>
  <c r="P18" i="2"/>
  <c r="AE18" i="2"/>
  <c r="S18" i="2"/>
  <c r="AH16" i="2"/>
  <c r="AK18" i="2"/>
  <c r="G16" i="2"/>
  <c r="AB16" i="2"/>
  <c r="M18" i="2"/>
  <c r="Z16" i="2"/>
  <c r="V18" i="2"/>
  <c r="AN16" i="2"/>
  <c r="P16" i="2"/>
  <c r="AN18" i="2"/>
  <c r="V16" i="2"/>
  <c r="S16" i="2"/>
  <c r="K16" i="2"/>
  <c r="J16" i="2"/>
  <c r="AB18" i="2"/>
  <c r="S70" i="2"/>
  <c r="AH58" i="2"/>
  <c r="N55" i="2"/>
  <c r="W49" i="2"/>
  <c r="Y21" i="2"/>
  <c r="AO19" i="2"/>
  <c r="V69" i="2"/>
  <c r="P41" i="2"/>
  <c r="AF18" i="2"/>
  <c r="S17" i="2"/>
  <c r="AO26" i="2"/>
  <c r="AO25" i="2"/>
  <c r="G27" i="2"/>
  <c r="H43" i="2"/>
  <c r="M50" i="2"/>
  <c r="AO17" i="2"/>
  <c r="M25" i="2"/>
  <c r="J69" i="2"/>
  <c r="AH27" i="2"/>
  <c r="P25" i="2"/>
  <c r="AK16" i="2"/>
  <c r="G25" i="2"/>
  <c r="T16" i="2"/>
  <c r="Q25" i="2"/>
  <c r="Z45" i="2"/>
  <c r="AK56" i="2"/>
  <c r="P46" i="2"/>
  <c r="AL42" i="2"/>
  <c r="AC16" i="2"/>
  <c r="D34" i="10"/>
  <c r="J34" i="10"/>
  <c r="L34" i="10"/>
  <c r="AB32" i="10"/>
  <c r="AB31" i="10"/>
  <c r="F16" i="11" l="1"/>
  <c r="E17" i="10"/>
  <c r="F17" i="11"/>
  <c r="G17" i="11" s="1"/>
  <c r="S78" i="2"/>
  <c r="M15" i="2"/>
  <c r="M78" i="2" s="1"/>
  <c r="AN15" i="2"/>
  <c r="J15" i="2"/>
  <c r="J78" i="2" s="1"/>
  <c r="Y15" i="2"/>
  <c r="Y78" i="2" s="1"/>
  <c r="V15" i="2"/>
  <c r="P15" i="2"/>
  <c r="AI15" i="2"/>
  <c r="AI78" i="2" s="1"/>
  <c r="B25" i="9" s="1"/>
  <c r="E25" i="9" s="1"/>
  <c r="W16" i="10" s="1"/>
  <c r="W29" i="10" s="1"/>
  <c r="W34" i="10" s="1"/>
  <c r="G16" i="11"/>
  <c r="AO15" i="2"/>
  <c r="AO78" i="2" s="1"/>
  <c r="B27" i="9" s="1"/>
  <c r="AB15" i="2"/>
  <c r="AB78" i="2" s="1"/>
  <c r="Z15" i="2"/>
  <c r="Z78" i="2" s="1"/>
  <c r="B22" i="9" s="1"/>
  <c r="E22" i="9" s="1"/>
  <c r="Q16" i="10" s="1"/>
  <c r="Q29" i="10" s="1"/>
  <c r="Q34" i="10" s="1"/>
  <c r="AK15" i="2"/>
  <c r="AK78" i="2" s="1"/>
  <c r="AH15" i="2"/>
  <c r="N15" i="2"/>
  <c r="W15" i="2"/>
  <c r="AE15" i="2"/>
  <c r="C37" i="10"/>
  <c r="D36" i="10"/>
  <c r="D37" i="10" s="1"/>
  <c r="E28" i="11"/>
  <c r="F27" i="11"/>
  <c r="G27" i="11" s="1"/>
  <c r="AH18" i="2"/>
  <c r="P19" i="2"/>
  <c r="AI63" i="2"/>
  <c r="G66" i="2"/>
  <c r="C9" i="11"/>
  <c r="C9" i="10"/>
  <c r="C9" i="9"/>
  <c r="C9" i="2"/>
  <c r="AA17" i="10"/>
  <c r="AL78" i="2"/>
  <c r="B26" i="9" s="1"/>
  <c r="E26" i="9" s="1"/>
  <c r="Q78" i="2"/>
  <c r="B19" i="9" s="1"/>
  <c r="E19" i="9" s="1"/>
  <c r="K16" i="10" s="1"/>
  <c r="K29" i="10" s="1"/>
  <c r="K34" i="10" s="1"/>
  <c r="W78" i="2"/>
  <c r="B21" i="9" s="1"/>
  <c r="E21" i="9" s="1"/>
  <c r="O16" i="10" s="1"/>
  <c r="O29" i="10" s="1"/>
  <c r="O34" i="10" s="1"/>
  <c r="AE78" i="2"/>
  <c r="AF78" i="2"/>
  <c r="B24" i="9" s="1"/>
  <c r="E24" i="9" s="1"/>
  <c r="U16" i="10" s="1"/>
  <c r="U29" i="10" s="1"/>
  <c r="U34" i="10" s="1"/>
  <c r="T78" i="2"/>
  <c r="B20" i="9" s="1"/>
  <c r="E20" i="9" s="1"/>
  <c r="M16" i="10" s="1"/>
  <c r="M29" i="10" s="1"/>
  <c r="M34" i="10" s="1"/>
  <c r="N78" i="2"/>
  <c r="B18" i="9" s="1"/>
  <c r="E18" i="9" s="1"/>
  <c r="I16" i="10" s="1"/>
  <c r="I29" i="10" s="1"/>
  <c r="I34" i="10" s="1"/>
  <c r="AC78" i="2"/>
  <c r="B23" i="9" s="1"/>
  <c r="E23" i="9" s="1"/>
  <c r="S16" i="10" s="1"/>
  <c r="S29" i="10" s="1"/>
  <c r="S34" i="10" s="1"/>
  <c r="K78" i="2"/>
  <c r="AN78" i="2"/>
  <c r="AB34" i="10"/>
  <c r="AH78" i="2" l="1"/>
  <c r="D39" i="10"/>
  <c r="E27" i="9"/>
  <c r="AA16" i="10" s="1"/>
  <c r="P78" i="2"/>
  <c r="V78" i="2"/>
  <c r="AA29" i="10"/>
  <c r="AA34" i="10" s="1"/>
  <c r="G26" i="9"/>
  <c r="Y16" i="10"/>
  <c r="Y29" i="10" s="1"/>
  <c r="Y34" i="10" s="1"/>
  <c r="G21" i="9"/>
  <c r="B17" i="9"/>
  <c r="E17" i="9" l="1"/>
  <c r="G16" i="10" l="1"/>
  <c r="G29" i="10" s="1"/>
  <c r="G34" i="10" l="1"/>
  <c r="G27" i="9" l="1"/>
  <c r="H15" i="1" l="1"/>
  <c r="C15" i="2"/>
  <c r="G15" i="2" s="1"/>
  <c r="G78" i="2" s="1"/>
  <c r="G81" i="2" s="1"/>
  <c r="J79" i="2" s="1"/>
  <c r="J81" i="2" s="1"/>
  <c r="M79" i="2" s="1"/>
  <c r="M81" i="2" s="1"/>
  <c r="P79" i="2" s="1"/>
  <c r="P81" i="2" s="1"/>
  <c r="S79" i="2" s="1"/>
  <c r="S81" i="2" s="1"/>
  <c r="V79" i="2" s="1"/>
  <c r="V81" i="2" s="1"/>
  <c r="Y79" i="2" s="1"/>
  <c r="Y81" i="2" s="1"/>
  <c r="AB79" i="2" s="1"/>
  <c r="AB81" i="2" s="1"/>
  <c r="AE79" i="2" s="1"/>
  <c r="AE81" i="2" s="1"/>
  <c r="AH79" i="2" s="1"/>
  <c r="AH81" i="2" s="1"/>
  <c r="AK79" i="2" s="1"/>
  <c r="AK81" i="2" s="1"/>
  <c r="AN79" i="2" s="1"/>
  <c r="AN81" i="2" s="1"/>
  <c r="C8" i="1" s="1"/>
  <c r="H15" i="2"/>
  <c r="H78" i="2" s="1"/>
  <c r="H81" i="2" s="1"/>
  <c r="B16" i="9" l="1"/>
  <c r="K79" i="2"/>
  <c r="K81" i="2" s="1"/>
  <c r="N79" i="2" s="1"/>
  <c r="N81" i="2" s="1"/>
  <c r="Q79" i="2" s="1"/>
  <c r="Q81" i="2" s="1"/>
  <c r="T79" i="2" s="1"/>
  <c r="T81" i="2" s="1"/>
  <c r="W79" i="2" s="1"/>
  <c r="W81" i="2" s="1"/>
  <c r="Z79" i="2" s="1"/>
  <c r="Z81" i="2" s="1"/>
  <c r="AC79" i="2" s="1"/>
  <c r="AC81" i="2" s="1"/>
  <c r="AF79" i="2" s="1"/>
  <c r="AF81" i="2" s="1"/>
  <c r="AI79" i="2" s="1"/>
  <c r="AI81" i="2" s="1"/>
  <c r="AL79" i="2" s="1"/>
  <c r="AL81" i="2" s="1"/>
  <c r="AO79" i="2" s="1"/>
  <c r="AO81" i="2" s="1"/>
  <c r="C11" i="1" s="1"/>
  <c r="C8" i="11"/>
  <c r="C8" i="10"/>
  <c r="C8" i="2"/>
  <c r="C8" i="9"/>
  <c r="K15" i="1"/>
  <c r="L15" i="1" s="1"/>
  <c r="C10" i="2" l="1"/>
  <c r="C10" i="9"/>
  <c r="C10" i="11"/>
  <c r="C10" i="10"/>
  <c r="E16" i="9"/>
  <c r="C16" i="9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B28" i="9"/>
  <c r="E16" i="10" l="1"/>
  <c r="E29" i="10" s="1"/>
  <c r="E28" i="9"/>
  <c r="C12" i="1" s="1"/>
  <c r="C11" i="9" l="1"/>
  <c r="C11" i="10"/>
  <c r="C11" i="11"/>
  <c r="C11" i="2"/>
  <c r="AB29" i="10"/>
  <c r="AB37" i="10" s="1"/>
  <c r="E34" i="10"/>
  <c r="E36" i="10" l="1"/>
  <c r="E39" i="10" l="1"/>
  <c r="F16" i="9"/>
  <c r="G16" i="9" s="1"/>
  <c r="E37" i="10"/>
  <c r="E41" i="10" s="1"/>
  <c r="E40" i="10" l="1"/>
  <c r="F36" i="10"/>
  <c r="F37" i="10" s="1"/>
  <c r="F39" i="10" l="1"/>
  <c r="G36" i="10" l="1"/>
  <c r="G39" i="10"/>
  <c r="H36" i="10" l="1"/>
  <c r="H37" i="10" s="1"/>
  <c r="F17" i="9"/>
  <c r="G17" i="9" s="1"/>
  <c r="G37" i="10"/>
  <c r="G41" i="10" s="1"/>
  <c r="H39" i="10" l="1"/>
  <c r="I36" i="10" l="1"/>
  <c r="F18" i="9" l="1"/>
  <c r="G18" i="9" s="1"/>
  <c r="I37" i="10"/>
  <c r="I41" i="10" s="1"/>
  <c r="I39" i="10"/>
  <c r="J36" i="10" l="1"/>
  <c r="J37" i="10" s="1"/>
  <c r="J41" i="10" s="1"/>
  <c r="J39" i="10" l="1"/>
  <c r="K36" i="10" s="1"/>
  <c r="F19" i="9" l="1"/>
  <c r="G19" i="9" s="1"/>
  <c r="K37" i="10"/>
  <c r="K41" i="10" s="1"/>
  <c r="K39" i="10"/>
  <c r="L36" i="10" l="1"/>
  <c r="L37" i="10" s="1"/>
  <c r="L41" i="10" s="1"/>
  <c r="L39" i="10" l="1"/>
  <c r="M39" i="10" s="1"/>
  <c r="C4" i="1" s="1"/>
  <c r="M36" i="10"/>
  <c r="C4" i="11" l="1"/>
  <c r="C4" i="2"/>
  <c r="C4" i="9"/>
  <c r="C4" i="10"/>
  <c r="N36" i="10"/>
  <c r="N37" i="10" s="1"/>
  <c r="N41" i="10" s="1"/>
  <c r="M37" i="10"/>
  <c r="M41" i="10" s="1"/>
  <c r="F20" i="9"/>
  <c r="G20" i="9" s="1"/>
  <c r="N39" i="10" l="1"/>
  <c r="O36" i="10" l="1"/>
  <c r="O37" i="10" s="1"/>
  <c r="O41" i="10" s="1"/>
  <c r="O39" i="10" l="1"/>
  <c r="P36" i="10" l="1"/>
  <c r="P37" i="10" s="1"/>
  <c r="P41" i="10" s="1"/>
  <c r="P39" i="10" l="1"/>
  <c r="Q36" i="10" s="1"/>
  <c r="Q37" i="10" l="1"/>
  <c r="Q41" i="10" s="1"/>
  <c r="F22" i="9"/>
  <c r="G22" i="9" s="1"/>
  <c r="Q39" i="10"/>
  <c r="R36" i="10" l="1"/>
  <c r="R37" i="10" s="1"/>
  <c r="R41" i="10" s="1"/>
  <c r="R39" i="10" l="1"/>
  <c r="S36" i="10" l="1"/>
  <c r="S37" i="10" l="1"/>
  <c r="S41" i="10" s="1"/>
  <c r="F23" i="9"/>
  <c r="G23" i="9" s="1"/>
  <c r="S39" i="10"/>
  <c r="T36" i="10" l="1"/>
  <c r="T37" i="10" s="1"/>
  <c r="T41" i="10" s="1"/>
  <c r="T39" i="10" l="1"/>
  <c r="U36" i="10" l="1"/>
  <c r="U39" i="10" s="1"/>
  <c r="V36" i="10" l="1"/>
  <c r="V37" i="10" s="1"/>
  <c r="F24" i="9"/>
  <c r="G24" i="9" s="1"/>
  <c r="U37" i="10"/>
  <c r="U41" i="10" s="1"/>
  <c r="V39" i="10" l="1"/>
  <c r="W36" i="10" l="1"/>
  <c r="W37" i="10" l="1"/>
  <c r="W41" i="10" s="1"/>
  <c r="F25" i="9"/>
  <c r="G25" i="9" s="1"/>
  <c r="G28" i="9" s="1"/>
  <c r="W39" i="10"/>
  <c r="X36" i="10" l="1"/>
  <c r="X37" i="10" s="1"/>
  <c r="X39" i="10" l="1"/>
  <c r="Y36" i="10" l="1"/>
  <c r="Y37" i="10" s="1"/>
  <c r="Y41" i="10" s="1"/>
  <c r="Y39" i="10" l="1"/>
  <c r="Z36" i="10" l="1"/>
  <c r="Z37" i="10" s="1"/>
  <c r="Z39" i="10"/>
  <c r="AB39" i="10" l="1"/>
  <c r="AA36" i="10"/>
  <c r="AA37" i="10" s="1"/>
  <c r="AA41" i="10" s="1"/>
  <c r="AA39" i="10" l="1"/>
</calcChain>
</file>

<file path=xl/sharedStrings.xml><?xml version="1.0" encoding="utf-8"?>
<sst xmlns="http://schemas.openxmlformats.org/spreadsheetml/2006/main" count="255" uniqueCount="136">
  <si>
    <t>Recruiter Name:</t>
  </si>
  <si>
    <t>Vince Brindisi</t>
  </si>
  <si>
    <t>Initials:</t>
  </si>
  <si>
    <t>VB</t>
  </si>
  <si>
    <t>Draw Balance:</t>
  </si>
  <si>
    <t>Current Year:</t>
  </si>
  <si>
    <t>Prior Year</t>
  </si>
  <si>
    <t>Plan:</t>
  </si>
  <si>
    <t>DH Recruiter</t>
  </si>
  <si>
    <t>YTD Direct Hire Billings:</t>
  </si>
  <si>
    <t>YTD Direct Hire Booked:</t>
  </si>
  <si>
    <t>YTD Staffing GM:</t>
  </si>
  <si>
    <t>YTD Cash-In:</t>
  </si>
  <si>
    <t>YTD Commissions Earned:</t>
  </si>
  <si>
    <t xml:space="preserve"> </t>
  </si>
  <si>
    <t xml:space="preserve"> Placement ID</t>
  </si>
  <si>
    <t>Client</t>
  </si>
  <si>
    <t>Candidate</t>
  </si>
  <si>
    <t>Start Date</t>
  </si>
  <si>
    <t>Total Fee Billed to Client</t>
  </si>
  <si>
    <t>Date Paid</t>
  </si>
  <si>
    <t>Total Fee Paid by Client</t>
  </si>
  <si>
    <t>Cash Outstanding</t>
  </si>
  <si>
    <t>Personal Deal %</t>
  </si>
  <si>
    <t>Personal Billings</t>
  </si>
  <si>
    <t>Personal Cash-In</t>
  </si>
  <si>
    <t>Personal Cash Outstanding</t>
  </si>
  <si>
    <t xml:space="preserve">Marker Management </t>
  </si>
  <si>
    <t>Davita Brown</t>
  </si>
  <si>
    <t>PY</t>
  </si>
  <si>
    <t>Proconex</t>
  </si>
  <si>
    <t xml:space="preserve">Ryan Weaver </t>
  </si>
  <si>
    <t>Davita Brown - Falloff</t>
  </si>
  <si>
    <t xml:space="preserve">Bentley Systems </t>
  </si>
  <si>
    <t>Jared Wood</t>
  </si>
  <si>
    <t>Christopher Mcdonnel</t>
  </si>
  <si>
    <t>RPM</t>
  </si>
  <si>
    <t>Jessly Joseph</t>
  </si>
  <si>
    <t>AAMCO</t>
  </si>
  <si>
    <t>Luke Nuneviller</t>
  </si>
  <si>
    <t>Billing/Cash In</t>
  </si>
  <si>
    <t>Start</t>
  </si>
  <si>
    <t>Paid</t>
  </si>
  <si>
    <t>Jan</t>
  </si>
  <si>
    <t xml:space="preserve">JAN </t>
  </si>
  <si>
    <t>Feb</t>
  </si>
  <si>
    <t>FEB</t>
  </si>
  <si>
    <t>Mar</t>
  </si>
  <si>
    <t>MAR</t>
  </si>
  <si>
    <t>April</t>
  </si>
  <si>
    <t xml:space="preserve">APRIL </t>
  </si>
  <si>
    <t>May</t>
  </si>
  <si>
    <t>MAY</t>
  </si>
  <si>
    <t>June</t>
  </si>
  <si>
    <t xml:space="preserve">JUNE </t>
  </si>
  <si>
    <t>July</t>
  </si>
  <si>
    <t>JULY</t>
  </si>
  <si>
    <t>August</t>
  </si>
  <si>
    <t>AUGUST</t>
  </si>
  <si>
    <t>Sept</t>
  </si>
  <si>
    <t xml:space="preserve">SEPT </t>
  </si>
  <si>
    <t>Oct</t>
  </si>
  <si>
    <t>OCT</t>
  </si>
  <si>
    <t>Nov</t>
  </si>
  <si>
    <t>NOV</t>
  </si>
  <si>
    <t>Dec</t>
  </si>
  <si>
    <t>DEC</t>
  </si>
  <si>
    <t>Applicant</t>
  </si>
  <si>
    <t>Company</t>
  </si>
  <si>
    <t>Amount</t>
  </si>
  <si>
    <t>Date</t>
  </si>
  <si>
    <t>Billings</t>
  </si>
  <si>
    <t>CASH IN</t>
  </si>
  <si>
    <t>MONTH</t>
  </si>
  <si>
    <t>PRIOR MONTH</t>
  </si>
  <si>
    <t>PRIOR MONTH YTD</t>
  </si>
  <si>
    <t>NEW YTD</t>
  </si>
  <si>
    <t>`</t>
  </si>
  <si>
    <t>Total</t>
  </si>
  <si>
    <t>Commision</t>
  </si>
  <si>
    <t>Commis</t>
  </si>
  <si>
    <t>Draw</t>
  </si>
  <si>
    <t>Month</t>
  </si>
  <si>
    <t>Monthly Cash In</t>
  </si>
  <si>
    <t>Cash-In YTD</t>
  </si>
  <si>
    <t>Rate</t>
  </si>
  <si>
    <t>Earned</t>
  </si>
  <si>
    <t>Recovery</t>
  </si>
  <si>
    <t xml:space="preserve">January </t>
  </si>
  <si>
    <t>February</t>
  </si>
  <si>
    <t>March</t>
  </si>
  <si>
    <t>September</t>
  </si>
  <si>
    <t>October</t>
  </si>
  <si>
    <t>November</t>
  </si>
  <si>
    <t>December</t>
  </si>
  <si>
    <t>TOTALS</t>
  </si>
  <si>
    <t>Total DH Commission Earned</t>
  </si>
  <si>
    <t>Commish</t>
  </si>
  <si>
    <t>Monthly Staffing GM</t>
  </si>
  <si>
    <t>Conversions</t>
  </si>
  <si>
    <t xml:space="preserve">Inv Amount </t>
  </si>
  <si>
    <t>Percentage</t>
  </si>
  <si>
    <t>Share</t>
  </si>
  <si>
    <t>Client Paid</t>
  </si>
  <si>
    <t>Marker Management</t>
  </si>
  <si>
    <t xml:space="preserve">Tetyana Pitula </t>
  </si>
  <si>
    <t>Carryover Balance from 2020</t>
  </si>
  <si>
    <t>Payroll</t>
  </si>
  <si>
    <t>Summary</t>
  </si>
  <si>
    <t xml:space="preserve">Direct Hire/Temp to Perm Commissions </t>
  </si>
  <si>
    <t>Staffing Commissions</t>
  </si>
  <si>
    <t>Temp Override/Mentoring</t>
  </si>
  <si>
    <t>DH Override/Mentoring</t>
  </si>
  <si>
    <t>Override/Mentoring</t>
  </si>
  <si>
    <t>SUBTOTAL Override/Mentoring</t>
  </si>
  <si>
    <t>Client Paid Bonuses ()</t>
  </si>
  <si>
    <t>Candidate/Client Referrals</t>
  </si>
  <si>
    <t>Internal Hiring Referrals</t>
  </si>
  <si>
    <t>Discretionary Bonus (Holiday/Performance)</t>
  </si>
  <si>
    <t>SUBTOTAL Bonuses</t>
  </si>
  <si>
    <t>TOTAL</t>
  </si>
  <si>
    <t>Gross Commissions &amp; Bonuses Earned</t>
  </si>
  <si>
    <t>Gross Commissions Earned</t>
  </si>
  <si>
    <t>Salary (+)</t>
  </si>
  <si>
    <t xml:space="preserve">Draw </t>
  </si>
  <si>
    <t xml:space="preserve">Monthly Draw </t>
  </si>
  <si>
    <t>Payroll Advances (Through Payroll)</t>
  </si>
  <si>
    <t>Total Pay Before Draw/Advance Recovery</t>
  </si>
  <si>
    <t>Subtotal</t>
  </si>
  <si>
    <t>Draw/Advance Recovery (-)</t>
  </si>
  <si>
    <t>Amt to be paid</t>
  </si>
  <si>
    <t>Draw Balance (-)</t>
  </si>
  <si>
    <t>Draw Balance</t>
  </si>
  <si>
    <t>Per Commission Report</t>
  </si>
  <si>
    <t>Director Plan C</t>
  </si>
  <si>
    <t>Staffing GM Commission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</si>
</sst>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%"/>
    <numFmt numFmtId="167" formatCode="_(* #,##0_);_(* \(#,##0\);_(* &quot;-&quot;??_);_(@_)"/>
    <numFmt numFmtId="168" formatCode="#,##0.000"/>
    <numFmt numFmtId="169" formatCode="_(* #,##0.00_);_(* \(#,##0.00\);_(* &quot;-&quot;_);_(@_)"/>
    <numFmt numFmtId="170" formatCode="[$-409]d\-mmm;@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2">
    <xf numFmtId="0" fontId="0" fillId="0" borderId="0" xfId="0"/>
    <xf numFmtId="164" fontId="5" fillId="2" borderId="1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" fontId="6" fillId="2" borderId="3" xfId="0" applyNumberFormat="1" applyFont="1" applyFill="1" applyBorder="1" applyAlignment="1">
      <alignment horizontal="center"/>
    </xf>
    <xf numFmtId="5" fontId="6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right"/>
    </xf>
    <xf numFmtId="165" fontId="6" fillId="2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/>
    <xf numFmtId="10" fontId="6" fillId="0" borderId="0" xfId="0" applyNumberFormat="1" applyFont="1"/>
    <xf numFmtId="0" fontId="8" fillId="3" borderId="0" xfId="0" applyFont="1" applyFill="1"/>
    <xf numFmtId="166" fontId="6" fillId="0" borderId="0" xfId="0" applyNumberFormat="1" applyFont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1" fontId="8" fillId="0" borderId="17" xfId="0" applyNumberFormat="1" applyFont="1" applyBorder="1"/>
    <xf numFmtId="41" fontId="7" fillId="0" borderId="18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0" fontId="8" fillId="0" borderId="15" xfId="7" applyNumberFormat="1" applyFont="1" applyBorder="1" applyAlignment="1">
      <alignment horizontal="center"/>
    </xf>
    <xf numFmtId="3" fontId="8" fillId="0" borderId="0" xfId="0" applyNumberFormat="1" applyFont="1"/>
    <xf numFmtId="0" fontId="8" fillId="0" borderId="0" xfId="0" applyFont="1"/>
    <xf numFmtId="3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center"/>
    </xf>
    <xf numFmtId="3" fontId="5" fillId="0" borderId="16" xfId="0" applyNumberFormat="1" applyFont="1" applyBorder="1"/>
    <xf numFmtId="3" fontId="5" fillId="0" borderId="19" xfId="0" applyNumberFormat="1" applyFont="1" applyBorder="1"/>
    <xf numFmtId="9" fontId="6" fillId="0" borderId="0" xfId="7" applyFont="1"/>
    <xf numFmtId="9" fontId="6" fillId="0" borderId="0" xfId="0" applyNumberFormat="1" applyFont="1"/>
    <xf numFmtId="0" fontId="5" fillId="0" borderId="0" xfId="0" applyFont="1" applyAlignment="1">
      <alignment horizontal="right"/>
    </xf>
    <xf numFmtId="0" fontId="5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3" fontId="5" fillId="4" borderId="16" xfId="0" applyNumberFormat="1" applyFont="1" applyFill="1" applyBorder="1"/>
    <xf numFmtId="3" fontId="7" fillId="4" borderId="24" xfId="0" applyNumberFormat="1" applyFont="1" applyFill="1" applyBorder="1"/>
    <xf numFmtId="3" fontId="5" fillId="4" borderId="19" xfId="0" applyNumberFormat="1" applyFont="1" applyFill="1" applyBorder="1"/>
    <xf numFmtId="3" fontId="7" fillId="4" borderId="15" xfId="0" applyNumberFormat="1" applyFont="1" applyFill="1" applyBorder="1"/>
    <xf numFmtId="0" fontId="7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3" fontId="7" fillId="0" borderId="24" xfId="0" applyNumberFormat="1" applyFont="1" applyBorder="1"/>
    <xf numFmtId="3" fontId="7" fillId="0" borderId="15" xfId="0" applyNumberFormat="1" applyFont="1" applyBorder="1"/>
    <xf numFmtId="0" fontId="5" fillId="4" borderId="12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166" fontId="5" fillId="4" borderId="25" xfId="0" applyNumberFormat="1" applyFont="1" applyFill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3" fontId="5" fillId="4" borderId="15" xfId="0" applyNumberFormat="1" applyFont="1" applyFill="1" applyBorder="1"/>
    <xf numFmtId="3" fontId="5" fillId="0" borderId="15" xfId="0" applyNumberFormat="1" applyFont="1" applyBorder="1"/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41" fontId="7" fillId="0" borderId="15" xfId="0" applyNumberFormat="1" applyFont="1" applyBorder="1"/>
    <xf numFmtId="0" fontId="9" fillId="0" borderId="0" xfId="0" applyFont="1"/>
    <xf numFmtId="3" fontId="8" fillId="4" borderId="22" xfId="0" applyNumberFormat="1" applyFont="1" applyFill="1" applyBorder="1"/>
    <xf numFmtId="3" fontId="8" fillId="0" borderId="16" xfId="0" applyNumberFormat="1" applyFont="1" applyBorder="1"/>
    <xf numFmtId="3" fontId="8" fillId="4" borderId="16" xfId="0" applyNumberFormat="1" applyFont="1" applyFill="1" applyBorder="1"/>
    <xf numFmtId="3" fontId="8" fillId="4" borderId="23" xfId="0" applyNumberFormat="1" applyFont="1" applyFill="1" applyBorder="1"/>
    <xf numFmtId="3" fontId="8" fillId="0" borderId="23" xfId="0" applyNumberFormat="1" applyFont="1" applyBorder="1"/>
    <xf numFmtId="10" fontId="5" fillId="4" borderId="24" xfId="0" applyNumberFormat="1" applyFont="1" applyFill="1" applyBorder="1" applyAlignment="1">
      <alignment horizontal="center"/>
    </xf>
    <xf numFmtId="10" fontId="5" fillId="0" borderId="24" xfId="0" applyNumberFormat="1" applyFont="1" applyBorder="1" applyAlignment="1">
      <alignment horizontal="center"/>
    </xf>
    <xf numFmtId="166" fontId="5" fillId="4" borderId="24" xfId="0" applyNumberFormat="1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right"/>
    </xf>
    <xf numFmtId="166" fontId="5" fillId="0" borderId="24" xfId="0" applyNumberFormat="1" applyFont="1" applyBorder="1" applyAlignment="1">
      <alignment horizontal="center"/>
    </xf>
    <xf numFmtId="3" fontId="8" fillId="0" borderId="27" xfId="0" applyNumberFormat="1" applyFont="1" applyBorder="1"/>
    <xf numFmtId="9" fontId="10" fillId="0" borderId="0" xfId="7" applyFont="1"/>
    <xf numFmtId="9" fontId="10" fillId="0" borderId="0" xfId="6" applyNumberFormat="1"/>
    <xf numFmtId="44" fontId="10" fillId="0" borderId="0" xfId="3" applyFont="1"/>
    <xf numFmtId="44" fontId="12" fillId="0" borderId="0" xfId="3" applyFont="1"/>
    <xf numFmtId="0" fontId="15" fillId="0" borderId="28" xfId="0" applyFont="1" applyBorder="1" applyAlignment="1">
      <alignment horizontal="left"/>
    </xf>
    <xf numFmtId="0" fontId="14" fillId="0" borderId="0" xfId="0" applyFont="1"/>
    <xf numFmtId="0" fontId="10" fillId="8" borderId="0" xfId="6" applyFill="1"/>
    <xf numFmtId="167" fontId="12" fillId="8" borderId="0" xfId="1" applyNumberFormat="1" applyFont="1" applyFill="1"/>
    <xf numFmtId="9" fontId="10" fillId="8" borderId="0" xfId="7" applyFont="1" applyFill="1"/>
    <xf numFmtId="167" fontId="10" fillId="8" borderId="0" xfId="1" applyNumberFormat="1" applyFont="1" applyFill="1"/>
    <xf numFmtId="9" fontId="10" fillId="8" borderId="0" xfId="6" applyNumberFormat="1" applyFill="1"/>
    <xf numFmtId="16" fontId="8" fillId="0" borderId="24" xfId="0" applyNumberFormat="1" applyFont="1" applyBorder="1" applyAlignment="1">
      <alignment horizontal="right"/>
    </xf>
    <xf numFmtId="41" fontId="5" fillId="0" borderId="0" xfId="0" applyNumberFormat="1" applyFont="1"/>
    <xf numFmtId="41" fontId="5" fillId="0" borderId="0" xfId="0" applyNumberFormat="1" applyFont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/>
    <xf numFmtId="165" fontId="6" fillId="0" borderId="0" xfId="0" applyNumberFormat="1" applyFont="1" applyAlignment="1">
      <alignment horizontal="center"/>
    </xf>
    <xf numFmtId="41" fontId="7" fillId="0" borderId="24" xfId="0" applyNumberFormat="1" applyFont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0" fontId="5" fillId="4" borderId="31" xfId="0" applyNumberFormat="1" applyFont="1" applyFill="1" applyBorder="1" applyAlignment="1">
      <alignment horizontal="center"/>
    </xf>
    <xf numFmtId="10" fontId="5" fillId="0" borderId="31" xfId="0" applyNumberFormat="1" applyFont="1" applyBorder="1" applyAlignment="1">
      <alignment horizontal="center"/>
    </xf>
    <xf numFmtId="166" fontId="5" fillId="4" borderId="31" xfId="0" applyNumberFormat="1" applyFont="1" applyFill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" fontId="5" fillId="0" borderId="0" xfId="0" applyNumberFormat="1" applyFont="1" applyAlignment="1">
      <alignment horizontal="right" wrapText="1"/>
    </xf>
    <xf numFmtId="0" fontId="5" fillId="9" borderId="19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41" fontId="6" fillId="0" borderId="19" xfId="0" applyNumberFormat="1" applyFont="1" applyBorder="1" applyAlignment="1">
      <alignment wrapText="1"/>
    </xf>
    <xf numFmtId="0" fontId="5" fillId="11" borderId="19" xfId="0" applyFont="1" applyFill="1" applyBorder="1" applyAlignment="1">
      <alignment horizontal="right" wrapText="1"/>
    </xf>
    <xf numFmtId="0" fontId="5" fillId="12" borderId="19" xfId="0" applyFont="1" applyFill="1" applyBorder="1" applyAlignment="1">
      <alignment horizontal="right" wrapText="1"/>
    </xf>
    <xf numFmtId="0" fontId="5" fillId="13" borderId="19" xfId="0" applyFont="1" applyFill="1" applyBorder="1" applyAlignment="1">
      <alignment horizontal="right" wrapText="1"/>
    </xf>
    <xf numFmtId="0" fontId="5" fillId="14" borderId="19" xfId="0" applyFont="1" applyFill="1" applyBorder="1" applyAlignment="1">
      <alignment horizontal="right" wrapText="1"/>
    </xf>
    <xf numFmtId="1" fontId="5" fillId="15" borderId="0" xfId="0" applyNumberFormat="1" applyFont="1" applyFill="1"/>
    <xf numFmtId="41" fontId="5" fillId="15" borderId="0" xfId="0" applyNumberFormat="1" applyFont="1" applyFill="1"/>
    <xf numFmtId="0" fontId="5" fillId="15" borderId="0" xfId="0" applyFont="1" applyFill="1"/>
    <xf numFmtId="43" fontId="13" fillId="7" borderId="24" xfId="5" applyNumberFormat="1" applyBorder="1" applyAlignment="1" applyProtection="1">
      <alignment horizontal="center"/>
      <protection locked="0"/>
    </xf>
    <xf numFmtId="10" fontId="13" fillId="7" borderId="24" xfId="5" applyNumberFormat="1" applyBorder="1" applyAlignment="1" applyProtection="1">
      <alignment horizontal="center"/>
      <protection locked="0"/>
    </xf>
    <xf numFmtId="10" fontId="8" fillId="0" borderId="15" xfId="8" applyNumberFormat="1" applyFont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43" fontId="5" fillId="9" borderId="24" xfId="1" applyFont="1" applyFill="1" applyBorder="1"/>
    <xf numFmtId="43" fontId="6" fillId="0" borderId="0" xfId="1" applyFont="1"/>
    <xf numFmtId="43" fontId="5" fillId="14" borderId="24" xfId="1" applyFont="1" applyFill="1" applyBorder="1"/>
    <xf numFmtId="43" fontId="5" fillId="10" borderId="24" xfId="1" applyFont="1" applyFill="1" applyBorder="1"/>
    <xf numFmtId="43" fontId="5" fillId="12" borderId="23" xfId="1" applyFont="1" applyFill="1" applyBorder="1"/>
    <xf numFmtId="43" fontId="5" fillId="11" borderId="24" xfId="1" applyFont="1" applyFill="1" applyBorder="1"/>
    <xf numFmtId="43" fontId="5" fillId="13" borderId="23" xfId="1" applyFont="1" applyFill="1" applyBorder="1"/>
    <xf numFmtId="43" fontId="5" fillId="0" borderId="23" xfId="1" applyFont="1" applyBorder="1"/>
    <xf numFmtId="43" fontId="5" fillId="0" borderId="24" xfId="1" applyFont="1" applyBorder="1"/>
    <xf numFmtId="43" fontId="6" fillId="0" borderId="11" xfId="1" applyFont="1" applyBorder="1"/>
    <xf numFmtId="43" fontId="5" fillId="5" borderId="0" xfId="1" applyFont="1" applyFill="1"/>
    <xf numFmtId="43" fontId="5" fillId="5" borderId="21" xfId="1" applyFont="1" applyFill="1" applyBorder="1"/>
    <xf numFmtId="43" fontId="5" fillId="5" borderId="10" xfId="1" applyFont="1" applyFill="1" applyBorder="1"/>
    <xf numFmtId="43" fontId="5" fillId="0" borderId="30" xfId="1" applyFont="1" applyBorder="1"/>
    <xf numFmtId="43" fontId="5" fillId="0" borderId="29" xfId="1" applyFont="1" applyBorder="1"/>
    <xf numFmtId="43" fontId="5" fillId="16" borderId="23" xfId="1" applyFont="1" applyFill="1" applyBorder="1"/>
    <xf numFmtId="43" fontId="5" fillId="5" borderId="23" xfId="1" applyFont="1" applyFill="1" applyBorder="1"/>
    <xf numFmtId="43" fontId="5" fillId="5" borderId="24" xfId="1" applyFont="1" applyFill="1" applyBorder="1"/>
    <xf numFmtId="43" fontId="5" fillId="17" borderId="0" xfId="1" applyFont="1" applyFill="1"/>
    <xf numFmtId="43" fontId="6" fillId="6" borderId="24" xfId="1" applyFont="1" applyFill="1" applyBorder="1"/>
    <xf numFmtId="43" fontId="6" fillId="17" borderId="24" xfId="1" applyFont="1" applyFill="1" applyBorder="1"/>
    <xf numFmtId="43" fontId="8" fillId="0" borderId="24" xfId="1" applyFont="1" applyBorder="1" applyAlignment="1">
      <alignment horizontal="center"/>
    </xf>
    <xf numFmtId="43" fontId="5" fillId="0" borderId="0" xfId="0" applyNumberFormat="1" applyFont="1"/>
    <xf numFmtId="43" fontId="6" fillId="0" borderId="32" xfId="1" applyFont="1" applyBorder="1"/>
    <xf numFmtId="3" fontId="5" fillId="0" borderId="33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9" xfId="0" applyNumberFormat="1" applyFont="1" applyBorder="1" applyAlignment="1">
      <alignment horizontal="center"/>
    </xf>
    <xf numFmtId="41" fontId="7" fillId="3" borderId="19" xfId="0" applyNumberFormat="1" applyFont="1" applyFill="1" applyBorder="1"/>
    <xf numFmtId="3" fontId="5" fillId="0" borderId="34" xfId="0" applyNumberFormat="1" applyFont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3" fontId="5" fillId="0" borderId="36" xfId="0" applyNumberFormat="1" applyFont="1" applyBorder="1" applyAlignment="1">
      <alignment horizontal="center"/>
    </xf>
    <xf numFmtId="3" fontId="5" fillId="0" borderId="28" xfId="0" applyNumberFormat="1" applyFont="1" applyBorder="1" applyAlignment="1">
      <alignment horizontal="center"/>
    </xf>
    <xf numFmtId="43" fontId="8" fillId="0" borderId="28" xfId="1" applyFont="1" applyBorder="1"/>
    <xf numFmtId="3" fontId="5" fillId="0" borderId="37" xfId="0" applyNumberFormat="1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68" fontId="6" fillId="0" borderId="0" xfId="0" applyNumberFormat="1" applyFont="1"/>
    <xf numFmtId="43" fontId="5" fillId="0" borderId="0" xfId="1" applyFont="1" applyAlignment="1">
      <alignment horizontal="right"/>
    </xf>
    <xf numFmtId="0" fontId="5" fillId="0" borderId="24" xfId="0" applyFont="1" applyBorder="1"/>
    <xf numFmtId="167" fontId="8" fillId="0" borderId="24" xfId="0" applyNumberFormat="1" applyFont="1" applyBorder="1"/>
    <xf numFmtId="41" fontId="8" fillId="0" borderId="24" xfId="0" applyNumberFormat="1" applyFont="1" applyBorder="1"/>
    <xf numFmtId="167" fontId="8" fillId="0" borderId="24" xfId="1" applyNumberFormat="1" applyFont="1" applyBorder="1"/>
    <xf numFmtId="0" fontId="5" fillId="0" borderId="39" xfId="0" applyFont="1" applyBorder="1" applyAlignment="1">
      <alignment horizontal="center"/>
    </xf>
    <xf numFmtId="16" fontId="8" fillId="0" borderId="17" xfId="0" applyNumberFormat="1" applyFont="1" applyBorder="1" applyAlignment="1">
      <alignment horizontal="right"/>
    </xf>
    <xf numFmtId="43" fontId="8" fillId="0" borderId="24" xfId="1" applyFont="1" applyBorder="1"/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center"/>
      <protection locked="0"/>
    </xf>
    <xf numFmtId="9" fontId="16" fillId="0" borderId="0" xfId="7" applyFont="1" applyProtection="1">
      <protection locked="0"/>
    </xf>
    <xf numFmtId="4" fontId="16" fillId="0" borderId="0" xfId="0" applyNumberFormat="1" applyFont="1" applyProtection="1">
      <protection locked="0"/>
    </xf>
    <xf numFmtId="4" fontId="16" fillId="0" borderId="0" xfId="7" applyNumberFormat="1" applyFont="1" applyAlignment="1" applyProtection="1">
      <alignment horizontal="left"/>
      <protection locked="0"/>
    </xf>
    <xf numFmtId="0" fontId="17" fillId="0" borderId="0" xfId="0" applyFont="1"/>
    <xf numFmtId="0" fontId="16" fillId="2" borderId="34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center"/>
    </xf>
    <xf numFmtId="41" fontId="16" fillId="0" borderId="0" xfId="0" applyNumberFormat="1" applyFont="1" applyAlignment="1" applyProtection="1">
      <alignment horizontal="center"/>
      <protection locked="0"/>
    </xf>
    <xf numFmtId="0" fontId="16" fillId="2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28" xfId="0" applyFont="1" applyFill="1" applyBorder="1" applyAlignment="1">
      <alignment horizontal="center"/>
    </xf>
    <xf numFmtId="43" fontId="16" fillId="0" borderId="0" xfId="1" applyFont="1" applyProtection="1">
      <protection locked="0"/>
    </xf>
    <xf numFmtId="0" fontId="16" fillId="18" borderId="36" xfId="0" applyFont="1" applyFill="1" applyBorder="1" applyAlignment="1">
      <alignment horizontal="center"/>
    </xf>
    <xf numFmtId="0" fontId="18" fillId="18" borderId="0" xfId="0" applyFont="1" applyFill="1" applyAlignment="1">
      <alignment horizontal="right"/>
    </xf>
    <xf numFmtId="43" fontId="18" fillId="18" borderId="28" xfId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14" fontId="18" fillId="0" borderId="0" xfId="0" applyNumberFormat="1" applyFont="1" applyAlignment="1" applyProtection="1">
      <alignment horizontal="left"/>
      <protection locked="0"/>
    </xf>
    <xf numFmtId="4" fontId="16" fillId="2" borderId="28" xfId="0" applyNumberFormat="1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4" fontId="16" fillId="2" borderId="43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9" fillId="19" borderId="24" xfId="0" applyFont="1" applyFill="1" applyBorder="1" applyAlignment="1">
      <alignment horizontal="center" vertical="center" wrapText="1"/>
    </xf>
    <xf numFmtId="14" fontId="19" fillId="19" borderId="24" xfId="0" applyNumberFormat="1" applyFont="1" applyFill="1" applyBorder="1" applyAlignment="1">
      <alignment horizontal="center" vertical="center" wrapText="1"/>
    </xf>
    <xf numFmtId="43" fontId="19" fillId="19" borderId="24" xfId="1" applyFont="1" applyFill="1" applyBorder="1" applyAlignment="1">
      <alignment horizontal="center" vertical="center" wrapText="1"/>
    </xf>
    <xf numFmtId="4" fontId="19" fillId="19" borderId="24" xfId="0" applyNumberFormat="1" applyFont="1" applyFill="1" applyBorder="1" applyAlignment="1">
      <alignment horizontal="center" vertical="center" wrapText="1"/>
    </xf>
    <xf numFmtId="9" fontId="19" fillId="19" borderId="24" xfId="7" applyFont="1" applyFill="1" applyBorder="1" applyAlignment="1">
      <alignment horizontal="center" vertical="center" wrapText="1"/>
    </xf>
    <xf numFmtId="4" fontId="19" fillId="19" borderId="16" xfId="0" applyNumberFormat="1" applyFont="1" applyFill="1" applyBorder="1" applyAlignment="1">
      <alignment horizontal="center" vertical="center" wrapText="1"/>
    </xf>
    <xf numFmtId="0" fontId="20" fillId="0" borderId="24" xfId="0" applyFont="1" applyBorder="1" applyProtection="1">
      <protection locked="0"/>
    </xf>
    <xf numFmtId="43" fontId="20" fillId="0" borderId="24" xfId="1" applyFont="1" applyBorder="1" applyAlignment="1" applyProtection="1">
      <alignment horizontal="center"/>
      <protection locked="0"/>
    </xf>
    <xf numFmtId="4" fontId="20" fillId="0" borderId="24" xfId="0" applyNumberFormat="1" applyFont="1" applyBorder="1" applyAlignment="1" applyProtection="1">
      <alignment horizontal="center"/>
      <protection locked="0"/>
    </xf>
    <xf numFmtId="0" fontId="20" fillId="0" borderId="24" xfId="0" applyFont="1" applyBorder="1" applyAlignment="1" applyProtection="1">
      <alignment horizontal="center"/>
      <protection locked="0"/>
    </xf>
    <xf numFmtId="14" fontId="20" fillId="0" borderId="24" xfId="0" applyNumberFormat="1" applyFont="1" applyBorder="1" applyAlignment="1" applyProtection="1">
      <alignment horizontal="center"/>
      <protection locked="0"/>
    </xf>
    <xf numFmtId="9" fontId="20" fillId="0" borderId="24" xfId="7" applyFont="1" applyBorder="1" applyProtection="1">
      <protection locked="0"/>
    </xf>
    <xf numFmtId="4" fontId="20" fillId="0" borderId="24" xfId="0" applyNumberFormat="1" applyFont="1" applyBorder="1" applyProtection="1">
      <protection locked="0"/>
    </xf>
    <xf numFmtId="4" fontId="20" fillId="0" borderId="16" xfId="7" applyNumberFormat="1" applyFont="1" applyBorder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8" fillId="0" borderId="38" xfId="1" applyFont="1" applyBorder="1"/>
    <xf numFmtId="43" fontId="8" fillId="0" borderId="36" xfId="1" applyFont="1" applyBorder="1"/>
    <xf numFmtId="43" fontId="8" fillId="0" borderId="37" xfId="1" applyFont="1" applyBorder="1"/>
    <xf numFmtId="43" fontId="8" fillId="0" borderId="0" xfId="0" applyNumberFormat="1" applyFont="1"/>
    <xf numFmtId="43" fontId="8" fillId="0" borderId="0" xfId="1" applyFont="1"/>
    <xf numFmtId="169" fontId="8" fillId="0" borderId="24" xfId="0" applyNumberFormat="1" applyFont="1" applyBorder="1"/>
    <xf numFmtId="169" fontId="7" fillId="3" borderId="19" xfId="0" applyNumberFormat="1" applyFont="1" applyFill="1" applyBorder="1"/>
    <xf numFmtId="43" fontId="6" fillId="0" borderId="0" xfId="0" applyNumberFormat="1" applyFont="1"/>
    <xf numFmtId="1" fontId="5" fillId="0" borderId="0" xfId="0" applyNumberFormat="1" applyFont="1" applyAlignment="1">
      <alignment horizontal="right"/>
    </xf>
    <xf numFmtId="167" fontId="20" fillId="0" borderId="24" xfId="2" applyNumberFormat="1" applyFont="1" applyFill="1" applyBorder="1" applyAlignment="1" applyProtection="1">
      <alignment horizontal="center"/>
      <protection locked="0"/>
    </xf>
    <xf numFmtId="167" fontId="20" fillId="0" borderId="15" xfId="2" applyNumberFormat="1" applyFont="1" applyFill="1" applyBorder="1" applyProtection="1">
      <protection locked="0"/>
    </xf>
    <xf numFmtId="14" fontId="17" fillId="0" borderId="0" xfId="0" applyNumberFormat="1" applyFont="1"/>
    <xf numFmtId="43" fontId="17" fillId="0" borderId="0" xfId="1" applyFont="1" applyFill="1"/>
    <xf numFmtId="43" fontId="17" fillId="0" borderId="0" xfId="0" applyNumberFormat="1" applyFont="1"/>
    <xf numFmtId="43" fontId="8" fillId="0" borderId="36" xfId="1" applyFont="1" applyFill="1" applyBorder="1"/>
    <xf numFmtId="43" fontId="8" fillId="0" borderId="28" xfId="1" applyFont="1" applyFill="1" applyBorder="1"/>
    <xf numFmtId="0" fontId="11" fillId="16" borderId="0" xfId="0" applyFont="1" applyFill="1" applyAlignment="1">
      <alignment horizontal="left" wrapText="1"/>
    </xf>
    <xf numFmtId="0" fontId="11" fillId="0" borderId="32" xfId="0" applyFont="1" applyBorder="1"/>
    <xf numFmtId="0" fontId="20" fillId="0" borderId="0" xfId="0" applyFont="1"/>
    <xf numFmtId="43" fontId="16" fillId="0" borderId="0" xfId="0" applyNumberFormat="1" applyFont="1" applyAlignment="1" applyProtection="1">
      <alignment horizontal="center"/>
      <protection locked="0"/>
    </xf>
    <xf numFmtId="43" fontId="6" fillId="20" borderId="24" xfId="1" applyFont="1" applyFill="1" applyBorder="1"/>
    <xf numFmtId="0" fontId="20" fillId="21" borderId="24" xfId="0" applyFont="1" applyFill="1" applyBorder="1" applyAlignment="1" applyProtection="1">
      <alignment horizontal="left"/>
      <protection locked="0"/>
    </xf>
    <xf numFmtId="0" fontId="20" fillId="21" borderId="24" xfId="0" applyFont="1" applyFill="1" applyBorder="1" applyProtection="1">
      <protection locked="0"/>
    </xf>
    <xf numFmtId="14" fontId="20" fillId="21" borderId="24" xfId="0" applyNumberFormat="1" applyFont="1" applyFill="1" applyBorder="1" applyAlignment="1" applyProtection="1">
      <alignment horizontal="center"/>
      <protection locked="0"/>
    </xf>
    <xf numFmtId="9" fontId="20" fillId="21" borderId="24" xfId="8" applyFont="1" applyFill="1" applyBorder="1" applyProtection="1">
      <protection locked="0"/>
    </xf>
    <xf numFmtId="9" fontId="20" fillId="0" borderId="24" xfId="8" applyFont="1" applyFill="1" applyBorder="1" applyProtection="1">
      <protection locked="0"/>
    </xf>
    <xf numFmtId="43" fontId="20" fillId="0" borderId="15" xfId="1" applyFont="1" applyFill="1" applyBorder="1" applyAlignment="1" applyProtection="1">
      <alignment horizontal="center"/>
      <protection locked="0"/>
    </xf>
    <xf numFmtId="167" fontId="8" fillId="0" borderId="36" xfId="1" applyNumberFormat="1" applyFont="1" applyBorder="1"/>
    <xf numFmtId="0" fontId="20" fillId="0" borderId="24" xfId="0" applyFont="1" applyBorder="1" applyAlignment="1" applyProtection="1">
      <alignment horizontal="left"/>
      <protection locked="0"/>
    </xf>
    <xf numFmtId="43" fontId="17" fillId="0" borderId="0" xfId="2" applyFont="1" applyFill="1"/>
    <xf numFmtId="43" fontId="6" fillId="0" borderId="0" xfId="1" applyFont="1" applyAlignment="1">
      <alignment horizontal="center"/>
    </xf>
    <xf numFmtId="43" fontId="5" fillId="9" borderId="24" xfId="2" applyFont="1" applyFill="1" applyBorder="1"/>
    <xf numFmtId="43" fontId="6" fillId="0" borderId="0" xfId="2" applyFont="1"/>
    <xf numFmtId="43" fontId="5" fillId="14" borderId="24" xfId="2" applyFont="1" applyFill="1" applyBorder="1"/>
    <xf numFmtId="43" fontId="5" fillId="10" borderId="24" xfId="2" applyFont="1" applyFill="1" applyBorder="1"/>
    <xf numFmtId="43" fontId="5" fillId="11" borderId="24" xfId="2" applyFont="1" applyFill="1" applyBorder="1"/>
    <xf numFmtId="43" fontId="5" fillId="13" borderId="23" xfId="2" applyFont="1" applyFill="1" applyBorder="1"/>
    <xf numFmtId="43" fontId="5" fillId="0" borderId="24" xfId="2" applyFont="1" applyBorder="1"/>
    <xf numFmtId="43" fontId="6" fillId="0" borderId="11" xfId="2" applyFont="1" applyBorder="1"/>
    <xf numFmtId="43" fontId="5" fillId="0" borderId="30" xfId="2" applyFont="1" applyBorder="1"/>
    <xf numFmtId="43" fontId="5" fillId="0" borderId="29" xfId="2" applyFont="1" applyBorder="1"/>
    <xf numFmtId="43" fontId="20" fillId="0" borderId="24" xfId="1" applyFont="1" applyFill="1" applyBorder="1" applyAlignment="1" applyProtection="1">
      <alignment horizontal="center"/>
      <protection locked="0"/>
    </xf>
    <xf numFmtId="43" fontId="20" fillId="0" borderId="15" xfId="1" applyFont="1" applyFill="1" applyBorder="1" applyProtection="1">
      <protection locked="0"/>
    </xf>
    <xf numFmtId="43" fontId="20" fillId="21" borderId="24" xfId="1" applyFont="1" applyFill="1" applyBorder="1" applyAlignment="1" applyProtection="1">
      <alignment horizontal="center"/>
      <protection locked="0"/>
    </xf>
    <xf numFmtId="43" fontId="7" fillId="0" borderId="18" xfId="1" applyFont="1" applyBorder="1" applyAlignment="1">
      <alignment horizontal="center"/>
    </xf>
    <xf numFmtId="43" fontId="7" fillId="0" borderId="18" xfId="1" applyFont="1" applyFill="1" applyBorder="1" applyAlignment="1">
      <alignment horizontal="center"/>
    </xf>
    <xf numFmtId="43" fontId="7" fillId="0" borderId="24" xfId="1" applyFont="1" applyBorder="1" applyAlignment="1">
      <alignment horizontal="center"/>
    </xf>
    <xf numFmtId="43" fontId="5" fillId="0" borderId="0" xfId="1" applyFont="1" applyAlignment="1">
      <alignment horizontal="center"/>
    </xf>
    <xf numFmtId="0" fontId="20" fillId="0" borderId="18" xfId="0" applyFont="1" applyBorder="1" applyAlignment="1" applyProtection="1">
      <alignment horizontal="left"/>
      <protection locked="0"/>
    </xf>
    <xf numFmtId="0" fontId="20" fillId="0" borderId="18" xfId="0" applyFont="1" applyBorder="1" applyProtection="1">
      <protection locked="0"/>
    </xf>
    <xf numFmtId="14" fontId="20" fillId="0" borderId="18" xfId="0" applyNumberFormat="1" applyFont="1" applyBorder="1" applyAlignment="1" applyProtection="1">
      <alignment horizontal="center"/>
      <protection locked="0"/>
    </xf>
    <xf numFmtId="43" fontId="20" fillId="0" borderId="18" xfId="1" applyFont="1" applyFill="1" applyBorder="1" applyAlignment="1" applyProtection="1">
      <alignment horizontal="center"/>
      <protection locked="0"/>
    </xf>
    <xf numFmtId="170" fontId="5" fillId="0" borderId="44" xfId="0" applyNumberFormat="1" applyFont="1" applyBorder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43" fontId="17" fillId="0" borderId="0" xfId="1" applyFont="1"/>
    <xf numFmtId="43" fontId="18" fillId="0" borderId="0" xfId="1" applyFont="1" applyAlignment="1" applyProtection="1">
      <alignment horizontal="right"/>
      <protection locked="0"/>
    </xf>
    <xf numFmtId="6" fontId="18" fillId="0" borderId="0" xfId="1" applyNumberFormat="1" applyFont="1" applyAlignment="1" applyProtection="1">
      <alignment horizontal="center"/>
      <protection locked="0"/>
    </xf>
    <xf numFmtId="43" fontId="18" fillId="0" borderId="0" xfId="1" applyFont="1" applyAlignment="1" applyProtection="1">
      <alignment horizontal="left"/>
      <protection locked="0"/>
    </xf>
    <xf numFmtId="43" fontId="16" fillId="0" borderId="0" xfId="1" applyFont="1" applyFill="1" applyAlignment="1" applyProtection="1">
      <alignment horizontal="center"/>
      <protection locked="0"/>
    </xf>
    <xf numFmtId="0" fontId="19" fillId="19" borderId="18" xfId="0" applyFont="1" applyFill="1" applyBorder="1" applyAlignment="1">
      <alignment horizontal="center" vertical="center" wrapText="1"/>
    </xf>
    <xf numFmtId="43" fontId="5" fillId="23" borderId="29" xfId="1" applyFont="1" applyFill="1" applyBorder="1"/>
    <xf numFmtId="0" fontId="21" fillId="0" borderId="0" xfId="0" applyFont="1"/>
    <xf numFmtId="0" fontId="20" fillId="22" borderId="0" xfId="0" applyFont="1" applyFill="1"/>
    <xf numFmtId="14" fontId="20" fillId="22" borderId="0" xfId="0" applyNumberFormat="1" applyFont="1" applyFill="1"/>
    <xf numFmtId="44" fontId="20" fillId="22" borderId="0" xfId="3" applyFont="1" applyFill="1"/>
    <xf numFmtId="9" fontId="20" fillId="22" borderId="0" xfId="0" applyNumberFormat="1" applyFont="1" applyFill="1"/>
    <xf numFmtId="43" fontId="20" fillId="22" borderId="0" xfId="1" applyFont="1" applyFill="1"/>
    <xf numFmtId="14" fontId="0" fillId="22" borderId="0" xfId="0" applyNumberFormat="1" applyFill="1"/>
    <xf numFmtId="44" fontId="12" fillId="22" borderId="0" xfId="3" applyFont="1" applyFill="1"/>
    <xf numFmtId="0" fontId="20" fillId="24" borderId="24" xfId="0" applyFont="1" applyFill="1" applyBorder="1" applyAlignment="1" applyProtection="1">
      <alignment horizontal="left"/>
      <protection locked="0"/>
    </xf>
    <xf numFmtId="0" fontId="20" fillId="24" borderId="24" xfId="0" applyFont="1" applyFill="1" applyBorder="1" applyProtection="1">
      <protection locked="0"/>
    </xf>
    <xf numFmtId="14" fontId="20" fillId="24" borderId="24" xfId="0" applyNumberFormat="1" applyFont="1" applyFill="1" applyBorder="1" applyAlignment="1" applyProtection="1">
      <alignment horizontal="center"/>
      <protection locked="0"/>
    </xf>
    <xf numFmtId="43" fontId="20" fillId="24" borderId="24" xfId="1" applyFont="1" applyFill="1" applyBorder="1" applyAlignment="1" applyProtection="1">
      <alignment horizontal="center"/>
      <protection locked="0"/>
    </xf>
    <xf numFmtId="9" fontId="20" fillId="24" borderId="24" xfId="8" applyFont="1" applyFill="1" applyBorder="1" applyProtection="1">
      <protection locked="0"/>
    </xf>
    <xf numFmtId="43" fontId="20" fillId="24" borderId="15" xfId="1" applyFont="1" applyFill="1" applyBorder="1" applyProtection="1">
      <protection locked="0"/>
    </xf>
    <xf numFmtId="0" fontId="20" fillId="22" borderId="45" xfId="0" applyFont="1" applyFill="1" applyBorder="1" applyProtection="1">
      <protection locked="0"/>
    </xf>
    <xf numFmtId="43" fontId="17" fillId="0" borderId="0" xfId="1" applyFont="1" applyFill="1" applyBorder="1"/>
    <xf numFmtId="0" fontId="20" fillId="24" borderId="15" xfId="0" applyFont="1" applyFill="1" applyBorder="1" applyAlignment="1" applyProtection="1">
      <alignment horizontal="left"/>
      <protection locked="0"/>
    </xf>
    <xf numFmtId="43" fontId="20" fillId="24" borderId="15" xfId="1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/>
      <protection locked="0"/>
    </xf>
    <xf numFmtId="43" fontId="17" fillId="0" borderId="0" xfId="2" applyFont="1" applyFill="1" applyBorder="1"/>
    <xf numFmtId="43" fontId="20" fillId="0" borderId="24" xfId="1" applyFont="1" applyFill="1" applyBorder="1" applyProtection="1">
      <protection locked="0"/>
    </xf>
    <xf numFmtId="0" fontId="20" fillId="22" borderId="15" xfId="0" applyFont="1" applyFill="1" applyBorder="1" applyProtection="1">
      <protection locked="0"/>
    </xf>
    <xf numFmtId="14" fontId="20" fillId="22" borderId="15" xfId="0" applyNumberFormat="1" applyFont="1" applyFill="1" applyBorder="1" applyAlignment="1" applyProtection="1">
      <alignment horizontal="center"/>
      <protection locked="0"/>
    </xf>
    <xf numFmtId="43" fontId="20" fillId="22" borderId="15" xfId="1" applyFont="1" applyFill="1" applyBorder="1" applyAlignment="1" applyProtection="1">
      <alignment horizontal="center"/>
      <protection locked="0"/>
    </xf>
    <xf numFmtId="9" fontId="20" fillId="22" borderId="15" xfId="8" applyFont="1" applyFill="1" applyBorder="1" applyProtection="1">
      <protection locked="0"/>
    </xf>
    <xf numFmtId="43" fontId="20" fillId="22" borderId="15" xfId="1" applyFont="1" applyFill="1" applyBorder="1" applyProtection="1">
      <protection locked="0"/>
    </xf>
  </cellXfs>
  <cellStyles count="9">
    <cellStyle name="Comma" xfId="1" builtinId="3"/>
    <cellStyle name="Comma 2" xfId="2" xr:uid="{AD63236D-E2A8-46CB-BCE6-713E9C05E6E2}"/>
    <cellStyle name="Currency" xfId="3" builtinId="4"/>
    <cellStyle name="Currency 2" xfId="4" xr:uid="{CE48E450-A06B-4727-9263-BE2681FA6CBF}"/>
    <cellStyle name="Good" xfId="5" builtinId="26"/>
    <cellStyle name="Normal" xfId="0" builtinId="0"/>
    <cellStyle name="Normal_Formula" xfId="6" xr:uid="{97B6DF00-6409-418D-B067-FCE7715DD3FC}"/>
    <cellStyle name="Percent" xfId="7" builtinId="5"/>
    <cellStyle name="Percent 2" xfId="8" xr:uid="{64620235-7B2A-4FBC-A02C-D13F1A2973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16</xdr:col>
      <xdr:colOff>400050</xdr:colOff>
      <xdr:row>9</xdr:row>
      <xdr:rowOff>28575</xdr:rowOff>
    </xdr:to>
    <xdr:pic>
      <xdr:nvPicPr>
        <xdr:cNvPr id="8515" name="Picture 1">
          <a:extLst>
            <a:ext uri="{FF2B5EF4-FFF2-40B4-BE49-F238E27FC236}">
              <a16:creationId xmlns:a16="http://schemas.microsoft.com/office/drawing/2014/main" id="{D2362613-5AEA-756F-2DE1-CCD4FE846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666750"/>
          <a:ext cx="41148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518583</xdr:colOff>
      <xdr:row>42</xdr:row>
      <xdr:rowOff>52916</xdr:rowOff>
    </xdr:from>
    <xdr:to>
      <xdr:col>19</xdr:col>
      <xdr:colOff>666791</xdr:colOff>
      <xdr:row>70</xdr:row>
      <xdr:rowOff>136734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E661A-6577-B0CC-3642-7C6573FC3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4250" y="6773333"/>
          <a:ext cx="6363588" cy="4534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0888-0685-42EB-BF61-DA7A6C55DC28}">
  <sheetPr>
    <pageSetUpPr fitToPage="1"/>
  </sheetPr>
  <dimension ref="A1:P92"/>
  <sheetViews>
    <sheetView topLeftCell="B1" zoomScaleNormal="100" workbookViewId="0">
      <selection activeCell="K15" sqref="K15"/>
    </sheetView>
  </sheetViews>
  <sheetFormatPr defaultColWidth="9.28515625" defaultRowHeight="12.75" x14ac:dyDescent="0.2"/>
  <cols>
    <col min="1" max="1" width="16.42578125" style="174" hidden="1" customWidth="1"/>
    <col min="2" max="2" width="25" style="175" bestFit="1" customWidth="1"/>
    <col min="3" max="3" width="18.140625" style="175" bestFit="1" customWidth="1"/>
    <col min="4" max="4" width="13.7109375" style="176" bestFit="1" customWidth="1"/>
    <col min="5" max="5" width="13.28515625" style="214" customWidth="1"/>
    <col min="6" max="6" width="11.42578125" style="176" customWidth="1"/>
    <col min="7" max="7" width="11" style="214" customWidth="1"/>
    <col min="8" max="8" width="12.28515625" style="214" customWidth="1"/>
    <col min="9" max="9" width="15.7109375" style="178" customWidth="1"/>
    <col min="10" max="10" width="14.28515625" style="177" customWidth="1"/>
    <col min="11" max="11" width="13.85546875" style="179" customWidth="1"/>
    <col min="12" max="12" width="15" style="180" customWidth="1"/>
    <col min="13" max="13" width="5.28515625" style="181" customWidth="1"/>
    <col min="14" max="14" width="12.5703125" style="181" bestFit="1" customWidth="1"/>
    <col min="15" max="16" width="10" style="181" bestFit="1" customWidth="1"/>
    <col min="17" max="16384" width="9.28515625" style="181"/>
  </cols>
  <sheetData>
    <row r="1" spans="1:16" ht="13.5" thickBot="1" x14ac:dyDescent="0.25"/>
    <row r="2" spans="1:16" x14ac:dyDescent="0.2">
      <c r="A2" s="182"/>
      <c r="B2" s="183" t="s">
        <v>0</v>
      </c>
      <c r="C2" s="184" t="s">
        <v>1</v>
      </c>
      <c r="M2" s="185"/>
      <c r="N2" s="175"/>
    </row>
    <row r="3" spans="1:16" x14ac:dyDescent="0.2">
      <c r="A3" s="186"/>
      <c r="B3" s="187" t="s">
        <v>2</v>
      </c>
      <c r="C3" s="188" t="s">
        <v>3</v>
      </c>
      <c r="E3" s="189"/>
      <c r="G3" s="189"/>
      <c r="K3" s="177"/>
      <c r="L3" s="177"/>
    </row>
    <row r="4" spans="1:16" x14ac:dyDescent="0.2">
      <c r="A4" s="190"/>
      <c r="B4" s="191" t="s">
        <v>4</v>
      </c>
      <c r="C4" s="192">
        <f>+'Payroll Rec'!M39</f>
        <v>-25297.93</v>
      </c>
      <c r="D4" s="176">
        <v>46188</v>
      </c>
      <c r="E4" s="189"/>
      <c r="G4" s="189"/>
      <c r="K4" s="177"/>
      <c r="L4" s="177"/>
    </row>
    <row r="5" spans="1:16" x14ac:dyDescent="0.2">
      <c r="A5" s="186"/>
      <c r="B5" s="187" t="s">
        <v>5</v>
      </c>
      <c r="C5" s="193">
        <v>2026</v>
      </c>
      <c r="E5" s="189"/>
      <c r="G5" s="189"/>
      <c r="K5" s="177"/>
      <c r="L5" s="179"/>
    </row>
    <row r="6" spans="1:16" x14ac:dyDescent="0.2">
      <c r="A6" s="186"/>
      <c r="B6" s="187" t="s">
        <v>6</v>
      </c>
      <c r="C6" s="193">
        <v>2025</v>
      </c>
      <c r="D6" s="194"/>
      <c r="E6" s="189"/>
      <c r="F6" s="194"/>
      <c r="G6" s="189"/>
      <c r="K6" s="177"/>
      <c r="L6" s="179"/>
    </row>
    <row r="7" spans="1:16" x14ac:dyDescent="0.2">
      <c r="A7" s="186"/>
      <c r="B7" s="187" t="s">
        <v>7</v>
      </c>
      <c r="C7" s="193" t="s">
        <v>8</v>
      </c>
      <c r="D7" s="194"/>
      <c r="E7" s="189"/>
      <c r="F7" s="194"/>
      <c r="G7" s="189"/>
      <c r="K7" s="177"/>
      <c r="L7" s="177"/>
    </row>
    <row r="8" spans="1:16" x14ac:dyDescent="0.2">
      <c r="A8" s="186"/>
      <c r="B8" s="187" t="s">
        <v>9</v>
      </c>
      <c r="C8" s="195">
        <f>+Totals!AN81</f>
        <v>97206.25</v>
      </c>
      <c r="D8" s="270"/>
      <c r="E8" s="271"/>
      <c r="F8" s="234"/>
      <c r="G8" s="272"/>
    </row>
    <row r="9" spans="1:16" x14ac:dyDescent="0.2">
      <c r="A9" s="186"/>
      <c r="B9" s="187" t="s">
        <v>10</v>
      </c>
      <c r="C9" s="195">
        <f>SUM(J16:J93)</f>
        <v>82581.25</v>
      </c>
      <c r="D9" s="214"/>
      <c r="F9" s="214"/>
    </row>
    <row r="10" spans="1:16" x14ac:dyDescent="0.2">
      <c r="A10" s="186"/>
      <c r="B10" s="187" t="s">
        <v>11</v>
      </c>
      <c r="C10" s="195">
        <f>'Staffing Comm Calc'!B28</f>
        <v>19028</v>
      </c>
      <c r="F10" s="214"/>
    </row>
    <row r="11" spans="1:16" x14ac:dyDescent="0.2">
      <c r="A11" s="186"/>
      <c r="B11" s="187" t="s">
        <v>12</v>
      </c>
      <c r="C11" s="195">
        <f>+Totals!AO81</f>
        <v>43768.75</v>
      </c>
      <c r="E11" s="273"/>
      <c r="F11" s="214"/>
    </row>
    <row r="12" spans="1:16" ht="13.5" thickBot="1" x14ac:dyDescent="0.25">
      <c r="A12" s="196"/>
      <c r="B12" s="197" t="s">
        <v>13</v>
      </c>
      <c r="C12" s="198">
        <f>+'DH Comm Calc'!E28+'Staffing Comm Calc'!E28</f>
        <v>25118.7</v>
      </c>
      <c r="F12" s="234"/>
    </row>
    <row r="13" spans="1:16" x14ac:dyDescent="0.2">
      <c r="A13" s="199" t="s">
        <v>14</v>
      </c>
    </row>
    <row r="14" spans="1:16" ht="38.25" x14ac:dyDescent="0.2">
      <c r="A14" s="200" t="s">
        <v>15</v>
      </c>
      <c r="B14" s="274" t="s">
        <v>16</v>
      </c>
      <c r="C14" s="274" t="s">
        <v>17</v>
      </c>
      <c r="D14" s="201" t="s">
        <v>18</v>
      </c>
      <c r="E14" s="202" t="s">
        <v>19</v>
      </c>
      <c r="F14" s="201" t="s">
        <v>20</v>
      </c>
      <c r="G14" s="202" t="s">
        <v>21</v>
      </c>
      <c r="H14" s="202" t="s">
        <v>22</v>
      </c>
      <c r="I14" s="204" t="s">
        <v>23</v>
      </c>
      <c r="J14" s="203" t="s">
        <v>24</v>
      </c>
      <c r="K14" s="203" t="s">
        <v>25</v>
      </c>
      <c r="L14" s="205" t="s">
        <v>26</v>
      </c>
      <c r="N14" s="269"/>
    </row>
    <row r="15" spans="1:16" x14ac:dyDescent="0.2">
      <c r="A15" s="290"/>
      <c r="B15" s="206" t="s">
        <v>27</v>
      </c>
      <c r="C15" s="206" t="s">
        <v>28</v>
      </c>
      <c r="D15" s="210">
        <v>46027</v>
      </c>
      <c r="E15" s="256">
        <v>14625</v>
      </c>
      <c r="F15" s="210">
        <v>46051</v>
      </c>
      <c r="G15" s="256">
        <v>14625</v>
      </c>
      <c r="H15" s="256">
        <f>E15-G15</f>
        <v>0</v>
      </c>
      <c r="I15" s="240">
        <v>1</v>
      </c>
      <c r="J15" s="256">
        <f>I15*E15</f>
        <v>14625</v>
      </c>
      <c r="K15" s="296">
        <f>J15*I15</f>
        <v>14625</v>
      </c>
      <c r="L15" s="256">
        <f>+J15-K15</f>
        <v>0</v>
      </c>
      <c r="M15" s="276" t="s">
        <v>29</v>
      </c>
      <c r="N15" s="291"/>
      <c r="O15" s="227"/>
      <c r="P15" s="228"/>
    </row>
    <row r="16" spans="1:16" x14ac:dyDescent="0.2">
      <c r="A16" s="294"/>
      <c r="B16" s="206" t="s">
        <v>30</v>
      </c>
      <c r="C16" s="206" t="s">
        <v>31</v>
      </c>
      <c r="D16" s="210">
        <v>46069</v>
      </c>
      <c r="E16" s="256">
        <v>33750</v>
      </c>
      <c r="F16" s="210">
        <v>46073</v>
      </c>
      <c r="G16" s="256">
        <f>E16</f>
        <v>33750</v>
      </c>
      <c r="H16" s="256">
        <f>E16-G16</f>
        <v>0</v>
      </c>
      <c r="I16" s="240">
        <v>0.5</v>
      </c>
      <c r="J16" s="256">
        <f>I16*E16</f>
        <v>16875</v>
      </c>
      <c r="K16" s="296">
        <f>J16</f>
        <v>16875</v>
      </c>
      <c r="L16" s="256">
        <f t="shared" ref="L16:L17" si="0">+J16-K16</f>
        <v>0</v>
      </c>
      <c r="N16" s="291"/>
      <c r="O16" s="295"/>
      <c r="P16" s="228"/>
    </row>
    <row r="17" spans="1:16" x14ac:dyDescent="0.2">
      <c r="A17" s="294"/>
      <c r="B17" s="206" t="s">
        <v>27</v>
      </c>
      <c r="C17" s="206" t="s">
        <v>32</v>
      </c>
      <c r="D17" s="210">
        <v>46069</v>
      </c>
      <c r="E17" s="256">
        <v>-8450</v>
      </c>
      <c r="F17" s="210">
        <v>46069</v>
      </c>
      <c r="G17" s="256">
        <f>E17</f>
        <v>-8450</v>
      </c>
      <c r="H17" s="256">
        <f>E17-G17</f>
        <v>0</v>
      </c>
      <c r="I17" s="240">
        <v>1</v>
      </c>
      <c r="J17" s="256">
        <f>I17*E17</f>
        <v>-8450</v>
      </c>
      <c r="K17" s="296">
        <f>J17</f>
        <v>-8450</v>
      </c>
      <c r="L17" s="256">
        <f t="shared" si="0"/>
        <v>0</v>
      </c>
      <c r="N17" s="226"/>
      <c r="O17" s="295"/>
      <c r="P17" s="228"/>
    </row>
    <row r="18" spans="1:16" x14ac:dyDescent="0.2">
      <c r="A18" s="292"/>
      <c r="B18" s="297" t="s">
        <v>33</v>
      </c>
      <c r="C18" s="297" t="s">
        <v>34</v>
      </c>
      <c r="D18" s="298">
        <v>46098</v>
      </c>
      <c r="E18" s="299">
        <v>55250</v>
      </c>
      <c r="F18" s="298">
        <v>46171</v>
      </c>
      <c r="G18" s="299">
        <f>E18</f>
        <v>55250</v>
      </c>
      <c r="H18" s="299">
        <f>E18-G18</f>
        <v>0</v>
      </c>
      <c r="I18" s="300">
        <v>0.375</v>
      </c>
      <c r="J18" s="299">
        <f>I18*E18</f>
        <v>20718.75</v>
      </c>
      <c r="K18" s="301">
        <f>G18*I18</f>
        <v>20718.75</v>
      </c>
      <c r="L18" s="299">
        <f>H18*I18</f>
        <v>0</v>
      </c>
    </row>
    <row r="19" spans="1:16" x14ac:dyDescent="0.2">
      <c r="A19" s="284"/>
      <c r="B19" s="285" t="s">
        <v>33</v>
      </c>
      <c r="C19" s="285" t="s">
        <v>35</v>
      </c>
      <c r="D19" s="286">
        <v>46153</v>
      </c>
      <c r="E19" s="287">
        <v>25187.5</v>
      </c>
      <c r="F19" s="286"/>
      <c r="G19" s="287"/>
      <c r="H19" s="287">
        <f>E19</f>
        <v>25187.5</v>
      </c>
      <c r="I19" s="288">
        <v>1</v>
      </c>
      <c r="J19" s="287">
        <f>E19*I19</f>
        <v>25187.5</v>
      </c>
      <c r="K19" s="289">
        <f>G19*I19</f>
        <v>0</v>
      </c>
      <c r="L19" s="287">
        <f>J19-K19</f>
        <v>25187.5</v>
      </c>
    </row>
    <row r="20" spans="1:16" x14ac:dyDescent="0.2">
      <c r="A20" s="284"/>
      <c r="B20" s="285" t="s">
        <v>36</v>
      </c>
      <c r="C20" s="285" t="s">
        <v>37</v>
      </c>
      <c r="D20" s="286">
        <v>46153</v>
      </c>
      <c r="E20" s="287">
        <v>37500</v>
      </c>
      <c r="F20" s="286"/>
      <c r="G20" s="287"/>
      <c r="H20" s="287">
        <f>E20</f>
        <v>37500</v>
      </c>
      <c r="I20" s="288">
        <v>0.5</v>
      </c>
      <c r="J20" s="287">
        <f>E20*I20</f>
        <v>18750</v>
      </c>
      <c r="K20" s="289">
        <f>G20*I20</f>
        <v>0</v>
      </c>
      <c r="L20" s="287">
        <f>J20-K20</f>
        <v>18750</v>
      </c>
    </row>
    <row r="21" spans="1:16" x14ac:dyDescent="0.2">
      <c r="A21" s="284"/>
      <c r="B21" s="285" t="s">
        <v>38</v>
      </c>
      <c r="C21" s="285" t="s">
        <v>39</v>
      </c>
      <c r="D21" s="286">
        <v>46181</v>
      </c>
      <c r="E21" s="287">
        <v>19000</v>
      </c>
      <c r="F21" s="286"/>
      <c r="G21" s="287"/>
      <c r="H21" s="287">
        <f>E21-G21</f>
        <v>19000</v>
      </c>
      <c r="I21" s="288">
        <v>0.5</v>
      </c>
      <c r="J21" s="293">
        <f>E21*I21</f>
        <v>9500</v>
      </c>
      <c r="K21" s="289">
        <f>G21*I21</f>
        <v>0</v>
      </c>
      <c r="L21" s="287">
        <f>J21-K21</f>
        <v>9500</v>
      </c>
    </row>
    <row r="22" spans="1:16" s="233" customFormat="1" x14ac:dyDescent="0.2">
      <c r="A22" s="243"/>
      <c r="B22" s="206"/>
      <c r="C22" s="206"/>
      <c r="D22" s="210"/>
      <c r="E22" s="256"/>
      <c r="F22" s="210"/>
      <c r="G22" s="256"/>
      <c r="H22" s="256"/>
      <c r="I22" s="240"/>
      <c r="J22" s="241"/>
      <c r="K22" s="257"/>
      <c r="L22" s="256"/>
    </row>
    <row r="23" spans="1:16" x14ac:dyDescent="0.2">
      <c r="A23" s="243"/>
      <c r="B23" s="206"/>
      <c r="C23" s="206"/>
      <c r="D23" s="210"/>
      <c r="E23" s="256"/>
      <c r="F23" s="210"/>
      <c r="G23" s="256"/>
      <c r="H23" s="256"/>
      <c r="I23" s="240"/>
      <c r="J23" s="241"/>
      <c r="K23" s="257"/>
      <c r="L23" s="256"/>
    </row>
    <row r="24" spans="1:16" x14ac:dyDescent="0.2">
      <c r="A24" s="243"/>
      <c r="B24" s="206"/>
      <c r="C24" s="206"/>
      <c r="D24" s="210"/>
      <c r="E24" s="256"/>
      <c r="F24" s="210"/>
      <c r="G24" s="256"/>
      <c r="H24" s="256"/>
      <c r="I24" s="240"/>
      <c r="J24" s="241"/>
      <c r="K24" s="257"/>
      <c r="L24" s="256"/>
    </row>
    <row r="25" spans="1:16" x14ac:dyDescent="0.2">
      <c r="A25" s="243"/>
      <c r="B25" s="206"/>
      <c r="C25" s="206"/>
      <c r="D25" s="210"/>
      <c r="E25" s="256"/>
      <c r="F25" s="210"/>
      <c r="G25" s="256"/>
      <c r="H25" s="256"/>
      <c r="I25" s="240"/>
      <c r="J25" s="241"/>
      <c r="K25" s="257"/>
      <c r="L25" s="256"/>
      <c r="N25" s="226"/>
      <c r="O25" s="227"/>
      <c r="P25" s="228"/>
    </row>
    <row r="26" spans="1:16" x14ac:dyDescent="0.2">
      <c r="A26" s="243"/>
      <c r="B26" s="206"/>
      <c r="C26" s="206"/>
      <c r="D26" s="210"/>
      <c r="E26" s="256"/>
      <c r="F26" s="210"/>
      <c r="G26" s="256"/>
      <c r="H26" s="256"/>
      <c r="I26" s="240"/>
      <c r="J26" s="241"/>
      <c r="K26" s="257"/>
      <c r="L26" s="256"/>
      <c r="N26" s="227"/>
      <c r="O26" s="227"/>
      <c r="P26" s="228"/>
    </row>
    <row r="27" spans="1:16" x14ac:dyDescent="0.2">
      <c r="A27" s="243"/>
      <c r="B27" s="206"/>
      <c r="C27" s="206"/>
      <c r="D27" s="210"/>
      <c r="E27" s="256"/>
      <c r="F27" s="210"/>
      <c r="G27" s="256"/>
      <c r="H27" s="256"/>
      <c r="I27" s="240"/>
      <c r="J27" s="241"/>
      <c r="K27" s="225"/>
      <c r="L27" s="256"/>
      <c r="N27" s="226"/>
      <c r="O27" s="227"/>
      <c r="P27" s="228"/>
    </row>
    <row r="28" spans="1:16" ht="11.25" customHeight="1" x14ac:dyDescent="0.2">
      <c r="A28" s="243"/>
      <c r="B28" s="206"/>
      <c r="C28" s="206"/>
      <c r="D28" s="210"/>
      <c r="E28" s="256"/>
      <c r="F28" s="210"/>
      <c r="G28" s="256"/>
      <c r="H28" s="256"/>
      <c r="I28" s="240"/>
      <c r="J28" s="241"/>
      <c r="K28" s="225"/>
      <c r="L28" s="256"/>
    </row>
    <row r="29" spans="1:16" x14ac:dyDescent="0.2">
      <c r="A29" s="243"/>
      <c r="B29" s="206"/>
      <c r="C29" s="206"/>
      <c r="D29" s="210"/>
      <c r="E29" s="256"/>
      <c r="F29" s="210"/>
      <c r="G29" s="256"/>
      <c r="H29" s="256"/>
      <c r="I29" s="240"/>
      <c r="J29" s="241"/>
      <c r="K29" s="225"/>
      <c r="L29" s="224"/>
    </row>
    <row r="30" spans="1:16" x14ac:dyDescent="0.2">
      <c r="A30" s="243"/>
      <c r="B30" s="206"/>
      <c r="C30" s="206"/>
      <c r="D30" s="210"/>
      <c r="E30" s="256"/>
      <c r="F30" s="210"/>
      <c r="G30" s="256"/>
      <c r="H30" s="256"/>
      <c r="I30" s="240"/>
      <c r="J30" s="241"/>
      <c r="K30" s="225"/>
      <c r="L30" s="224"/>
      <c r="N30" s="226"/>
      <c r="O30" s="227"/>
      <c r="P30" s="228"/>
    </row>
    <row r="31" spans="1:16" x14ac:dyDescent="0.2">
      <c r="A31" s="243"/>
      <c r="B31" s="206"/>
      <c r="C31" s="206"/>
      <c r="D31" s="210"/>
      <c r="E31" s="256"/>
      <c r="F31" s="210"/>
      <c r="G31" s="256"/>
      <c r="H31" s="256"/>
      <c r="I31" s="240"/>
      <c r="J31" s="241"/>
      <c r="K31" s="225"/>
      <c r="L31" s="224"/>
      <c r="N31" s="226"/>
      <c r="O31" s="227"/>
      <c r="P31" s="228"/>
    </row>
    <row r="32" spans="1:16" x14ac:dyDescent="0.2">
      <c r="A32" s="243"/>
      <c r="B32" s="206"/>
      <c r="C32" s="206"/>
      <c r="D32" s="210"/>
      <c r="E32" s="256"/>
      <c r="F32" s="210"/>
      <c r="G32" s="256"/>
      <c r="H32" s="256"/>
      <c r="I32" s="240"/>
      <c r="J32" s="241"/>
      <c r="K32" s="225"/>
      <c r="L32" s="224"/>
      <c r="N32" s="226"/>
      <c r="O32" s="227"/>
      <c r="P32" s="228"/>
    </row>
    <row r="33" spans="1:16" x14ac:dyDescent="0.2">
      <c r="A33" s="243"/>
      <c r="B33" s="206"/>
      <c r="C33" s="206"/>
      <c r="D33" s="210"/>
      <c r="E33" s="256"/>
      <c r="F33" s="210"/>
      <c r="G33" s="256"/>
      <c r="H33" s="256"/>
      <c r="I33" s="240"/>
      <c r="J33" s="241"/>
      <c r="K33" s="225"/>
      <c r="L33" s="224"/>
      <c r="N33" s="226"/>
      <c r="O33" s="227"/>
      <c r="P33" s="228"/>
    </row>
    <row r="34" spans="1:16" ht="12" customHeight="1" x14ac:dyDescent="0.2">
      <c r="A34" s="243"/>
      <c r="B34" s="206"/>
      <c r="C34" s="206"/>
      <c r="D34" s="210"/>
      <c r="E34" s="256"/>
      <c r="F34" s="210"/>
      <c r="G34" s="256"/>
      <c r="H34" s="256"/>
      <c r="I34" s="240"/>
      <c r="J34" s="241"/>
      <c r="K34" s="225"/>
      <c r="L34" s="224"/>
      <c r="N34" s="226"/>
      <c r="O34" s="227"/>
      <c r="P34" s="228"/>
    </row>
    <row r="35" spans="1:16" ht="11.25" customHeight="1" x14ac:dyDescent="0.2">
      <c r="A35" s="243"/>
      <c r="B35" s="206"/>
      <c r="C35" s="206"/>
      <c r="D35" s="210"/>
      <c r="E35" s="256"/>
      <c r="F35" s="210"/>
      <c r="G35" s="256"/>
      <c r="H35" s="256"/>
      <c r="I35" s="240"/>
      <c r="J35" s="241"/>
      <c r="K35" s="225"/>
      <c r="L35" s="224"/>
    </row>
    <row r="36" spans="1:16" ht="12" customHeight="1" x14ac:dyDescent="0.2">
      <c r="A36" s="243"/>
      <c r="B36" s="264"/>
      <c r="C36" s="264"/>
      <c r="D36" s="265"/>
      <c r="E36" s="266"/>
      <c r="F36" s="265"/>
      <c r="G36" s="266"/>
      <c r="H36" s="256"/>
      <c r="I36" s="240"/>
      <c r="J36" s="241"/>
      <c r="K36" s="225"/>
      <c r="L36" s="224"/>
      <c r="N36" s="226"/>
      <c r="O36" s="227"/>
      <c r="P36" s="228"/>
    </row>
    <row r="37" spans="1:16" x14ac:dyDescent="0.2">
      <c r="A37" s="243"/>
      <c r="B37" s="206"/>
      <c r="C37" s="206"/>
      <c r="D37" s="210"/>
      <c r="E37" s="256"/>
      <c r="F37" s="210"/>
      <c r="G37" s="256"/>
      <c r="H37" s="256"/>
      <c r="I37" s="240"/>
      <c r="J37" s="241"/>
      <c r="K37" s="225"/>
      <c r="L37" s="224"/>
      <c r="N37" s="226"/>
      <c r="O37" s="227"/>
      <c r="P37" s="228"/>
    </row>
    <row r="38" spans="1:16" ht="12" customHeight="1" x14ac:dyDescent="0.2">
      <c r="A38" s="243"/>
      <c r="B38" s="206"/>
      <c r="C38" s="206"/>
      <c r="D38" s="210"/>
      <c r="E38" s="256"/>
      <c r="F38" s="210"/>
      <c r="G38" s="256"/>
      <c r="H38" s="256"/>
      <c r="I38" s="240"/>
      <c r="J38" s="241"/>
      <c r="K38" s="225"/>
      <c r="L38" s="224"/>
    </row>
    <row r="39" spans="1:16" x14ac:dyDescent="0.2">
      <c r="A39" s="243"/>
      <c r="B39" s="206"/>
      <c r="C39" s="206"/>
      <c r="D39" s="210"/>
      <c r="E39" s="256"/>
      <c r="F39" s="210"/>
      <c r="G39" s="256"/>
      <c r="H39" s="256"/>
      <c r="I39" s="240"/>
      <c r="J39" s="241"/>
      <c r="K39" s="225"/>
      <c r="L39" s="224"/>
      <c r="N39" s="226"/>
      <c r="O39" s="227"/>
      <c r="P39" s="228"/>
    </row>
    <row r="40" spans="1:16" x14ac:dyDescent="0.2">
      <c r="A40" s="263"/>
      <c r="B40" s="206"/>
      <c r="C40" s="206"/>
      <c r="D40" s="210"/>
      <c r="E40" s="256"/>
      <c r="F40" s="210"/>
      <c r="G40" s="256"/>
      <c r="H40" s="256"/>
      <c r="I40" s="240"/>
      <c r="J40" s="224"/>
      <c r="K40" s="225"/>
      <c r="L40" s="224"/>
      <c r="N40" s="226"/>
      <c r="O40" s="244"/>
      <c r="P40" s="228"/>
    </row>
    <row r="41" spans="1:16" x14ac:dyDescent="0.2">
      <c r="A41" s="243"/>
      <c r="B41" s="206"/>
      <c r="C41" s="206"/>
      <c r="D41" s="210"/>
      <c r="E41" s="256"/>
      <c r="F41" s="210"/>
      <c r="G41" s="256"/>
      <c r="H41" s="256"/>
      <c r="I41" s="240"/>
      <c r="J41" s="224"/>
      <c r="K41" s="225"/>
      <c r="L41" s="224"/>
      <c r="N41" s="226"/>
      <c r="O41" s="227"/>
      <c r="P41" s="228"/>
    </row>
    <row r="42" spans="1:16" x14ac:dyDescent="0.2">
      <c r="A42" s="263"/>
      <c r="B42" s="206"/>
      <c r="C42" s="206"/>
      <c r="D42" s="210"/>
      <c r="E42" s="256"/>
      <c r="F42" s="210"/>
      <c r="G42" s="256"/>
      <c r="H42" s="256"/>
      <c r="I42" s="240"/>
      <c r="J42" s="224"/>
      <c r="K42" s="225"/>
      <c r="L42" s="224"/>
      <c r="N42" s="226"/>
      <c r="O42" s="244"/>
      <c r="P42" s="228"/>
    </row>
    <row r="43" spans="1:16" x14ac:dyDescent="0.2">
      <c r="A43" s="263"/>
      <c r="B43" s="206"/>
      <c r="C43" s="206"/>
      <c r="D43" s="210"/>
      <c r="E43" s="256"/>
      <c r="F43" s="210"/>
      <c r="G43" s="256"/>
      <c r="H43" s="256"/>
      <c r="I43" s="240"/>
      <c r="J43" s="224"/>
      <c r="K43" s="225"/>
      <c r="L43" s="224"/>
      <c r="N43" s="226"/>
      <c r="O43" s="244"/>
      <c r="P43" s="228"/>
    </row>
    <row r="44" spans="1:16" x14ac:dyDescent="0.2">
      <c r="A44" s="263"/>
      <c r="B44" s="206"/>
      <c r="C44" s="206"/>
      <c r="D44" s="210"/>
      <c r="E44" s="256"/>
      <c r="F44" s="210"/>
      <c r="G44" s="256"/>
      <c r="H44" s="256"/>
      <c r="I44" s="240"/>
      <c r="J44" s="224"/>
      <c r="K44" s="225"/>
      <c r="L44" s="224"/>
      <c r="N44" s="226"/>
      <c r="O44" s="244"/>
      <c r="P44" s="228"/>
    </row>
    <row r="45" spans="1:16" x14ac:dyDescent="0.2">
      <c r="A45" s="263"/>
      <c r="B45" s="206"/>
      <c r="C45" s="206"/>
      <c r="D45" s="210"/>
      <c r="E45" s="256"/>
      <c r="F45" s="210"/>
      <c r="G45" s="256"/>
      <c r="H45" s="256"/>
      <c r="I45" s="240"/>
      <c r="J45" s="224"/>
      <c r="K45" s="225"/>
      <c r="L45" s="224"/>
      <c r="N45" s="226"/>
      <c r="O45" s="244"/>
      <c r="P45" s="228"/>
    </row>
    <row r="46" spans="1:16" x14ac:dyDescent="0.2">
      <c r="A46" s="243"/>
      <c r="B46" s="206"/>
      <c r="C46" s="206"/>
      <c r="D46" s="210"/>
      <c r="E46" s="256"/>
      <c r="F46" s="210"/>
      <c r="G46" s="256"/>
      <c r="H46" s="256"/>
      <c r="I46" s="240"/>
      <c r="J46" s="224"/>
      <c r="K46" s="225"/>
      <c r="L46" s="224"/>
      <c r="N46" s="226"/>
      <c r="O46" s="244"/>
      <c r="P46" s="228"/>
    </row>
    <row r="47" spans="1:16" x14ac:dyDescent="0.2">
      <c r="A47" s="243"/>
      <c r="B47" s="206"/>
      <c r="C47" s="206"/>
      <c r="D47" s="210"/>
      <c r="E47" s="256"/>
      <c r="F47" s="210"/>
      <c r="G47" s="256"/>
      <c r="H47" s="256"/>
      <c r="I47" s="240"/>
      <c r="J47" s="224"/>
      <c r="K47" s="225"/>
      <c r="L47" s="224"/>
    </row>
    <row r="48" spans="1:16" x14ac:dyDescent="0.2">
      <c r="A48" s="243"/>
      <c r="B48" s="206"/>
      <c r="C48" s="206"/>
      <c r="D48" s="210"/>
      <c r="E48" s="256"/>
      <c r="F48" s="210"/>
      <c r="G48" s="256"/>
      <c r="H48" s="256"/>
      <c r="I48" s="240"/>
      <c r="J48" s="224"/>
      <c r="K48" s="225"/>
      <c r="L48" s="224"/>
    </row>
    <row r="49" spans="1:12" x14ac:dyDescent="0.2">
      <c r="A49" s="181"/>
      <c r="B49" s="206"/>
      <c r="C49" s="206"/>
      <c r="D49" s="210"/>
      <c r="E49" s="256"/>
      <c r="F49" s="210"/>
      <c r="G49" s="256"/>
      <c r="H49" s="256"/>
      <c r="I49" s="240"/>
      <c r="J49" s="224"/>
      <c r="K49" s="225"/>
      <c r="L49" s="224"/>
    </row>
    <row r="50" spans="1:12" x14ac:dyDescent="0.2">
      <c r="A50" s="181"/>
      <c r="B50" s="206"/>
      <c r="C50" s="206"/>
      <c r="D50" s="210"/>
      <c r="E50" s="256"/>
      <c r="F50" s="210"/>
      <c r="G50" s="256"/>
      <c r="H50" s="256"/>
      <c r="I50" s="240"/>
      <c r="J50" s="224"/>
      <c r="K50" s="225"/>
      <c r="L50" s="224"/>
    </row>
    <row r="51" spans="1:12" x14ac:dyDescent="0.2">
      <c r="A51" s="243"/>
      <c r="B51" s="206"/>
      <c r="C51" s="206"/>
      <c r="D51" s="210"/>
      <c r="E51" s="256"/>
      <c r="F51" s="210"/>
      <c r="G51" s="256"/>
      <c r="H51" s="256"/>
      <c r="I51" s="240"/>
      <c r="J51" s="224"/>
      <c r="K51" s="225"/>
      <c r="L51" s="224"/>
    </row>
    <row r="52" spans="1:12" x14ac:dyDescent="0.2">
      <c r="A52" s="243"/>
      <c r="B52" s="206"/>
      <c r="C52" s="206"/>
      <c r="D52" s="210"/>
      <c r="E52" s="256"/>
      <c r="F52" s="210"/>
      <c r="G52" s="256"/>
      <c r="H52" s="256"/>
      <c r="I52" s="240"/>
      <c r="J52" s="224"/>
      <c r="K52" s="225"/>
      <c r="L52" s="224"/>
    </row>
    <row r="53" spans="1:12" x14ac:dyDescent="0.2">
      <c r="A53" s="243"/>
      <c r="B53" s="206"/>
      <c r="C53" s="206"/>
      <c r="D53" s="210"/>
      <c r="E53" s="256"/>
      <c r="F53" s="210"/>
      <c r="G53" s="256"/>
      <c r="H53" s="256"/>
      <c r="I53" s="240"/>
      <c r="J53" s="224"/>
      <c r="K53" s="225"/>
      <c r="L53" s="224"/>
    </row>
    <row r="54" spans="1:12" x14ac:dyDescent="0.2">
      <c r="A54" s="243"/>
      <c r="B54" s="206"/>
      <c r="C54" s="206"/>
      <c r="D54" s="210"/>
      <c r="E54" s="256"/>
      <c r="F54" s="210"/>
      <c r="G54" s="256"/>
      <c r="H54" s="256"/>
      <c r="I54" s="240"/>
      <c r="J54" s="224"/>
      <c r="K54" s="225"/>
      <c r="L54" s="224"/>
    </row>
    <row r="55" spans="1:12" x14ac:dyDescent="0.2">
      <c r="A55" s="243"/>
      <c r="B55" s="206"/>
      <c r="C55" s="206"/>
      <c r="D55" s="210"/>
      <c r="E55" s="256"/>
      <c r="F55" s="210"/>
      <c r="G55" s="256"/>
      <c r="H55" s="256"/>
      <c r="I55" s="240"/>
      <c r="J55" s="224"/>
      <c r="K55" s="225"/>
      <c r="L55" s="224"/>
    </row>
    <row r="56" spans="1:12" x14ac:dyDescent="0.2">
      <c r="A56" s="243"/>
      <c r="B56" s="237"/>
      <c r="C56" s="237"/>
      <c r="D56" s="238"/>
      <c r="E56" s="256"/>
      <c r="F56" s="238"/>
      <c r="G56" s="258"/>
      <c r="H56" s="256"/>
      <c r="I56" s="239"/>
      <c r="J56" s="224"/>
      <c r="K56" s="225"/>
      <c r="L56" s="224"/>
    </row>
    <row r="57" spans="1:12" x14ac:dyDescent="0.2">
      <c r="A57" s="243"/>
      <c r="B57" s="237"/>
      <c r="C57" s="237"/>
      <c r="D57" s="238"/>
      <c r="E57" s="256"/>
      <c r="F57" s="238"/>
      <c r="G57" s="258"/>
      <c r="H57" s="256"/>
      <c r="I57" s="239"/>
      <c r="J57" s="224"/>
      <c r="K57" s="225"/>
      <c r="L57" s="224"/>
    </row>
    <row r="58" spans="1:12" x14ac:dyDescent="0.2">
      <c r="A58" s="243"/>
      <c r="B58" s="237"/>
      <c r="C58" s="237"/>
      <c r="D58" s="238"/>
      <c r="E58" s="256"/>
      <c r="F58" s="238"/>
      <c r="G58" s="258"/>
      <c r="H58" s="256"/>
      <c r="I58" s="239"/>
      <c r="J58" s="224"/>
      <c r="K58" s="225"/>
      <c r="L58" s="224"/>
    </row>
    <row r="59" spans="1:12" x14ac:dyDescent="0.2">
      <c r="A59" s="243"/>
      <c r="B59" s="237"/>
      <c r="C59" s="237"/>
      <c r="D59" s="238"/>
      <c r="E59" s="256"/>
      <c r="F59" s="238"/>
      <c r="G59" s="258"/>
      <c r="H59" s="256"/>
      <c r="I59" s="239"/>
      <c r="J59" s="224"/>
      <c r="K59" s="225"/>
      <c r="L59" s="224"/>
    </row>
    <row r="60" spans="1:12" x14ac:dyDescent="0.2">
      <c r="A60" s="236"/>
      <c r="B60" s="237"/>
      <c r="C60" s="237"/>
      <c r="D60" s="238"/>
      <c r="E60" s="256"/>
      <c r="F60" s="238"/>
      <c r="G60" s="258"/>
      <c r="H60" s="256"/>
      <c r="I60" s="239"/>
      <c r="J60" s="224"/>
      <c r="K60" s="225"/>
      <c r="L60" s="224"/>
    </row>
    <row r="61" spans="1:12" x14ac:dyDescent="0.2">
      <c r="A61" s="236"/>
      <c r="B61" s="237"/>
      <c r="C61" s="237"/>
      <c r="D61" s="238"/>
      <c r="E61" s="256"/>
      <c r="F61" s="238"/>
      <c r="G61" s="258"/>
      <c r="H61" s="256"/>
      <c r="I61" s="239"/>
      <c r="J61" s="224"/>
      <c r="K61" s="225"/>
      <c r="L61" s="224"/>
    </row>
    <row r="62" spans="1:12" x14ac:dyDescent="0.2">
      <c r="A62" s="236"/>
      <c r="B62" s="237"/>
      <c r="C62" s="237"/>
      <c r="D62" s="238"/>
      <c r="E62" s="256"/>
      <c r="F62" s="238"/>
      <c r="G62" s="258"/>
      <c r="H62" s="256"/>
      <c r="I62" s="239"/>
      <c r="J62" s="224"/>
      <c r="K62" s="225"/>
      <c r="L62" s="224"/>
    </row>
    <row r="63" spans="1:12" x14ac:dyDescent="0.2">
      <c r="A63" s="236"/>
      <c r="B63" s="237"/>
      <c r="C63" s="237"/>
      <c r="D63" s="238"/>
      <c r="E63" s="256"/>
      <c r="F63" s="238"/>
      <c r="G63" s="258"/>
      <c r="H63" s="256"/>
      <c r="I63" s="239"/>
      <c r="J63" s="224"/>
      <c r="K63" s="225"/>
      <c r="L63" s="224"/>
    </row>
    <row r="64" spans="1:12" x14ac:dyDescent="0.2">
      <c r="A64" s="236"/>
      <c r="B64" s="237"/>
      <c r="C64" s="237"/>
      <c r="D64" s="238"/>
      <c r="E64" s="256"/>
      <c r="F64" s="238"/>
      <c r="G64" s="258"/>
      <c r="H64" s="256"/>
      <c r="I64" s="239"/>
      <c r="J64" s="224"/>
      <c r="K64" s="225"/>
      <c r="L64" s="224"/>
    </row>
    <row r="65" spans="1:12" x14ac:dyDescent="0.2">
      <c r="A65" s="236"/>
      <c r="B65" s="237"/>
      <c r="C65" s="237"/>
      <c r="D65" s="238"/>
      <c r="E65" s="256"/>
      <c r="F65" s="238"/>
      <c r="G65" s="258"/>
      <c r="H65" s="256"/>
      <c r="I65" s="239"/>
      <c r="J65" s="224"/>
      <c r="K65" s="225"/>
      <c r="L65" s="224"/>
    </row>
    <row r="66" spans="1:12" x14ac:dyDescent="0.2">
      <c r="A66" s="236"/>
      <c r="B66" s="237"/>
      <c r="C66" s="237"/>
      <c r="D66" s="238"/>
      <c r="E66" s="256"/>
      <c r="F66" s="238"/>
      <c r="G66" s="258"/>
      <c r="H66" s="256"/>
      <c r="I66" s="239"/>
      <c r="J66" s="224"/>
      <c r="K66" s="225"/>
      <c r="L66" s="224"/>
    </row>
    <row r="67" spans="1:12" x14ac:dyDescent="0.2">
      <c r="A67" s="236"/>
      <c r="B67" s="237"/>
      <c r="C67" s="237"/>
      <c r="D67" s="238"/>
      <c r="E67" s="256"/>
      <c r="F67" s="238"/>
      <c r="G67" s="258"/>
      <c r="H67" s="256"/>
      <c r="I67" s="239"/>
      <c r="J67" s="224"/>
      <c r="K67" s="225"/>
      <c r="L67" s="224"/>
    </row>
    <row r="68" spans="1:12" x14ac:dyDescent="0.2">
      <c r="A68" s="236"/>
      <c r="B68" s="237"/>
      <c r="C68" s="237"/>
      <c r="D68" s="238"/>
      <c r="E68" s="256"/>
      <c r="F68" s="238"/>
      <c r="G68" s="258"/>
      <c r="H68" s="256"/>
      <c r="I68" s="239"/>
      <c r="J68" s="224"/>
      <c r="K68" s="225"/>
      <c r="L68" s="224"/>
    </row>
    <row r="69" spans="1:12" x14ac:dyDescent="0.2">
      <c r="A69" s="236"/>
      <c r="B69" s="237"/>
      <c r="C69" s="237"/>
      <c r="D69" s="238"/>
      <c r="E69" s="256"/>
      <c r="F69" s="238"/>
      <c r="G69" s="258"/>
      <c r="H69" s="256"/>
      <c r="I69" s="239"/>
      <c r="J69" s="224"/>
      <c r="K69" s="225"/>
      <c r="L69" s="224"/>
    </row>
    <row r="70" spans="1:12" x14ac:dyDescent="0.2">
      <c r="A70" s="236"/>
      <c r="B70" s="237"/>
      <c r="C70" s="237"/>
      <c r="D70" s="238"/>
      <c r="E70" s="256"/>
      <c r="F70" s="238"/>
      <c r="G70" s="258"/>
      <c r="H70" s="256"/>
      <c r="I70" s="239"/>
      <c r="J70" s="224"/>
      <c r="K70" s="225"/>
      <c r="L70" s="224"/>
    </row>
    <row r="71" spans="1:12" x14ac:dyDescent="0.2">
      <c r="A71" s="236"/>
      <c r="B71" s="237"/>
      <c r="C71" s="237"/>
      <c r="D71" s="238"/>
      <c r="E71" s="256"/>
      <c r="F71" s="238"/>
      <c r="G71" s="258"/>
      <c r="H71" s="256"/>
      <c r="I71" s="239"/>
      <c r="J71" s="224"/>
      <c r="K71" s="225"/>
      <c r="L71" s="224"/>
    </row>
    <row r="72" spans="1:12" x14ac:dyDescent="0.2">
      <c r="A72" s="236"/>
      <c r="B72" s="237"/>
      <c r="C72" s="237"/>
      <c r="D72" s="238"/>
      <c r="E72" s="256"/>
      <c r="F72" s="238"/>
      <c r="G72" s="258"/>
      <c r="H72" s="256"/>
      <c r="I72" s="239"/>
      <c r="J72" s="224"/>
      <c r="K72" s="225"/>
      <c r="L72" s="224"/>
    </row>
    <row r="73" spans="1:12" x14ac:dyDescent="0.2">
      <c r="A73" s="236"/>
      <c r="B73" s="237"/>
      <c r="C73" s="237"/>
      <c r="D73" s="238"/>
      <c r="E73" s="256"/>
      <c r="F73" s="238"/>
      <c r="G73" s="258"/>
      <c r="H73" s="256"/>
      <c r="I73" s="239"/>
      <c r="J73" s="224"/>
      <c r="K73" s="225"/>
      <c r="L73" s="224"/>
    </row>
    <row r="74" spans="1:12" x14ac:dyDescent="0.2">
      <c r="A74" s="236"/>
      <c r="B74" s="237"/>
      <c r="C74" s="237"/>
      <c r="D74" s="238"/>
      <c r="E74" s="256"/>
      <c r="F74" s="238"/>
      <c r="G74" s="258"/>
      <c r="H74" s="256"/>
      <c r="I74" s="239"/>
      <c r="J74" s="224"/>
      <c r="K74" s="225"/>
      <c r="L74" s="224"/>
    </row>
    <row r="75" spans="1:12" x14ac:dyDescent="0.2">
      <c r="A75" s="236"/>
      <c r="B75" s="237"/>
      <c r="C75" s="237"/>
      <c r="D75" s="238"/>
      <c r="E75" s="256"/>
      <c r="F75" s="238"/>
      <c r="G75" s="258"/>
      <c r="H75" s="256"/>
      <c r="I75" s="239"/>
      <c r="J75" s="224"/>
      <c r="K75" s="225"/>
      <c r="L75" s="224"/>
    </row>
    <row r="76" spans="1:12" x14ac:dyDescent="0.2">
      <c r="A76" s="236"/>
      <c r="B76" s="237"/>
      <c r="C76" s="237"/>
      <c r="D76" s="238"/>
      <c r="E76" s="256"/>
      <c r="F76" s="238"/>
      <c r="G76" s="258"/>
      <c r="H76" s="256"/>
      <c r="I76" s="239"/>
      <c r="J76" s="224"/>
      <c r="K76" s="225"/>
      <c r="L76" s="224"/>
    </row>
    <row r="77" spans="1:12" x14ac:dyDescent="0.2">
      <c r="A77" s="236"/>
      <c r="B77" s="237"/>
      <c r="C77" s="237"/>
      <c r="D77" s="238"/>
      <c r="E77" s="256"/>
      <c r="F77" s="238"/>
      <c r="G77" s="258"/>
      <c r="H77" s="256"/>
      <c r="I77" s="239"/>
      <c r="J77" s="224"/>
      <c r="K77" s="225"/>
      <c r="L77" s="224"/>
    </row>
    <row r="78" spans="1:12" x14ac:dyDescent="0.2">
      <c r="A78" s="236"/>
      <c r="B78" s="237"/>
      <c r="C78" s="237"/>
      <c r="D78" s="238"/>
      <c r="E78" s="256"/>
      <c r="F78" s="238"/>
      <c r="G78" s="258"/>
      <c r="H78" s="256"/>
      <c r="I78" s="239"/>
      <c r="J78" s="224"/>
      <c r="K78" s="225"/>
      <c r="L78" s="224"/>
    </row>
    <row r="79" spans="1:12" x14ac:dyDescent="0.2">
      <c r="A79" s="236"/>
      <c r="B79" s="237"/>
      <c r="C79" s="237"/>
      <c r="D79" s="238"/>
      <c r="E79" s="256"/>
      <c r="F79" s="238"/>
      <c r="G79" s="258"/>
      <c r="H79" s="256"/>
      <c r="I79" s="239"/>
      <c r="J79" s="224"/>
      <c r="K79" s="225"/>
      <c r="L79" s="224"/>
    </row>
    <row r="80" spans="1:12" x14ac:dyDescent="0.2">
      <c r="A80" s="236"/>
      <c r="B80" s="237"/>
      <c r="C80" s="237"/>
      <c r="D80" s="238"/>
      <c r="E80" s="256"/>
      <c r="F80" s="238"/>
      <c r="G80" s="258"/>
      <c r="H80" s="256"/>
      <c r="I80" s="239"/>
      <c r="J80" s="224"/>
      <c r="K80" s="225"/>
      <c r="L80" s="224"/>
    </row>
    <row r="81" spans="1:12" x14ac:dyDescent="0.2">
      <c r="A81" s="236"/>
      <c r="B81" s="237"/>
      <c r="C81" s="237"/>
      <c r="D81" s="238"/>
      <c r="E81" s="256"/>
      <c r="F81" s="238"/>
      <c r="G81" s="258"/>
      <c r="H81" s="256"/>
      <c r="I81" s="239"/>
      <c r="J81" s="224"/>
      <c r="K81" s="225"/>
      <c r="L81" s="224"/>
    </row>
    <row r="82" spans="1:12" x14ac:dyDescent="0.2">
      <c r="A82" s="236"/>
      <c r="B82" s="237"/>
      <c r="C82" s="237"/>
      <c r="D82" s="238"/>
      <c r="E82" s="256"/>
      <c r="F82" s="238"/>
      <c r="G82" s="258"/>
      <c r="H82" s="256"/>
      <c r="I82" s="239"/>
      <c r="J82" s="224"/>
      <c r="K82" s="225"/>
      <c r="L82" s="224"/>
    </row>
    <row r="83" spans="1:12" x14ac:dyDescent="0.2">
      <c r="A83" s="236"/>
      <c r="B83" s="237"/>
      <c r="C83" s="237"/>
      <c r="D83" s="238"/>
      <c r="E83" s="256"/>
      <c r="F83" s="238"/>
      <c r="G83" s="258"/>
      <c r="H83" s="256"/>
      <c r="I83" s="239"/>
      <c r="J83" s="224"/>
      <c r="K83" s="225"/>
      <c r="L83" s="224"/>
    </row>
    <row r="84" spans="1:12" x14ac:dyDescent="0.2">
      <c r="A84" s="236"/>
      <c r="B84" s="237"/>
      <c r="C84" s="237"/>
      <c r="D84" s="238"/>
      <c r="E84" s="256"/>
      <c r="F84" s="238"/>
      <c r="G84" s="258"/>
      <c r="H84" s="256"/>
      <c r="I84" s="239"/>
      <c r="J84" s="224"/>
      <c r="K84" s="225"/>
      <c r="L84" s="224"/>
    </row>
    <row r="85" spans="1:12" x14ac:dyDescent="0.2">
      <c r="A85" s="236"/>
      <c r="B85" s="237"/>
      <c r="C85" s="237"/>
      <c r="D85" s="238"/>
      <c r="E85" s="256"/>
      <c r="F85" s="238"/>
      <c r="G85" s="258"/>
      <c r="H85" s="256"/>
      <c r="I85" s="239"/>
      <c r="J85" s="224"/>
      <c r="K85" s="225"/>
      <c r="L85" s="224"/>
    </row>
    <row r="86" spans="1:12" x14ac:dyDescent="0.2">
      <c r="A86" s="236"/>
      <c r="B86" s="237"/>
      <c r="C86" s="237"/>
      <c r="D86" s="238"/>
      <c r="E86" s="256"/>
      <c r="F86" s="238"/>
      <c r="G86" s="258"/>
      <c r="H86" s="256"/>
      <c r="I86" s="239"/>
      <c r="J86" s="224"/>
      <c r="K86" s="225"/>
      <c r="L86" s="224"/>
    </row>
    <row r="87" spans="1:12" x14ac:dyDescent="0.2">
      <c r="A87" s="236"/>
      <c r="B87" s="206"/>
      <c r="C87" s="206"/>
      <c r="D87" s="210"/>
      <c r="E87" s="207"/>
      <c r="F87" s="210"/>
      <c r="G87" s="207"/>
      <c r="H87" s="207"/>
      <c r="I87" s="211"/>
      <c r="J87" s="208"/>
      <c r="K87" s="212"/>
      <c r="L87" s="213"/>
    </row>
    <row r="88" spans="1:12" x14ac:dyDescent="0.2">
      <c r="A88" s="236"/>
      <c r="B88" s="206"/>
      <c r="C88" s="206"/>
      <c r="D88" s="210"/>
      <c r="E88" s="207"/>
      <c r="F88" s="210"/>
      <c r="G88" s="207"/>
      <c r="H88" s="207"/>
      <c r="I88" s="211"/>
      <c r="J88" s="208"/>
      <c r="K88" s="212"/>
      <c r="L88" s="213"/>
    </row>
    <row r="89" spans="1:12" x14ac:dyDescent="0.2">
      <c r="A89" s="236"/>
    </row>
    <row r="90" spans="1:12" x14ac:dyDescent="0.2">
      <c r="A90" s="236"/>
    </row>
    <row r="91" spans="1:12" x14ac:dyDescent="0.2">
      <c r="A91" s="209"/>
    </row>
    <row r="92" spans="1:12" x14ac:dyDescent="0.2">
      <c r="A92" s="209"/>
    </row>
  </sheetData>
  <autoFilter ref="A14:L90" xr:uid="{2A1671C6-1579-482F-964E-9FE45435BD24}"/>
  <phoneticPr fontId="3" type="noConversion"/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B98-015B-4BCE-A615-A5D169BDC42B}">
  <dimension ref="A1:AP1578"/>
  <sheetViews>
    <sheetView zoomScale="96" zoomScaleNormal="96" workbookViewId="0">
      <pane xSplit="1" ySplit="14" topLeftCell="B15" activePane="bottomRight" state="frozen"/>
      <selection pane="topRight" activeCell="B5" sqref="B5"/>
      <selection pane="bottomLeft" activeCell="B5" sqref="B5"/>
      <selection pane="bottomRight" activeCell="F8" sqref="F8"/>
    </sheetView>
  </sheetViews>
  <sheetFormatPr defaultColWidth="9.28515625" defaultRowHeight="12.75" x14ac:dyDescent="0.2"/>
  <cols>
    <col min="1" max="1" width="21.7109375" style="10" customWidth="1"/>
    <col min="2" max="2" width="27.28515625" style="10" bestFit="1" customWidth="1"/>
    <col min="3" max="3" width="22.7109375" style="11" customWidth="1"/>
    <col min="4" max="4" width="9.7109375" style="12" bestFit="1" customWidth="1"/>
    <col min="5" max="5" width="13.28515625" style="12" customWidth="1"/>
    <col min="6" max="6" width="12.28515625" style="13" bestFit="1" customWidth="1"/>
    <col min="7" max="7" width="10.42578125" style="10" bestFit="1" customWidth="1"/>
    <col min="8" max="8" width="11.28515625" style="14" bestFit="1" customWidth="1"/>
    <col min="9" max="9" width="11.5703125" style="15" bestFit="1" customWidth="1"/>
    <col min="10" max="10" width="10.42578125" style="10" bestFit="1" customWidth="1"/>
    <col min="11" max="11" width="11.28515625" style="14" bestFit="1" customWidth="1"/>
    <col min="12" max="12" width="10.28515625" style="15" bestFit="1" customWidth="1"/>
    <col min="13" max="13" width="10.5703125" style="10" bestFit="1" customWidth="1"/>
    <col min="14" max="14" width="11.28515625" style="14" bestFit="1" customWidth="1"/>
    <col min="15" max="15" width="10.28515625" style="15" bestFit="1" customWidth="1"/>
    <col min="16" max="16" width="10.5703125" style="10" bestFit="1" customWidth="1"/>
    <col min="17" max="17" width="11.28515625" style="14" bestFit="1" customWidth="1"/>
    <col min="18" max="18" width="10.28515625" style="15" bestFit="1" customWidth="1"/>
    <col min="19" max="19" width="10.5703125" style="10" bestFit="1" customWidth="1"/>
    <col min="20" max="20" width="11.28515625" style="16" bestFit="1" customWidth="1"/>
    <col min="21" max="21" width="10.28515625" style="15" bestFit="1" customWidth="1"/>
    <col min="22" max="22" width="10.5703125" style="10" bestFit="1" customWidth="1"/>
    <col min="23" max="23" width="11.28515625" style="16" bestFit="1" customWidth="1"/>
    <col min="24" max="24" width="10.28515625" style="15" bestFit="1" customWidth="1"/>
    <col min="25" max="25" width="10.5703125" style="10" bestFit="1" customWidth="1"/>
    <col min="26" max="26" width="11.28515625" style="16" bestFit="1" customWidth="1"/>
    <col min="27" max="27" width="10.28515625" style="15" bestFit="1" customWidth="1"/>
    <col min="28" max="28" width="10.5703125" style="10" bestFit="1" customWidth="1"/>
    <col min="29" max="29" width="11.5703125" style="16" bestFit="1" customWidth="1"/>
    <col min="30" max="30" width="10.28515625" style="15" customWidth="1"/>
    <col min="31" max="31" width="10.5703125" style="10" bestFit="1" customWidth="1"/>
    <col min="32" max="32" width="11.28515625" style="16" bestFit="1" customWidth="1"/>
    <col min="33" max="33" width="10.28515625" style="15" customWidth="1"/>
    <col min="34" max="34" width="10.5703125" style="10" bestFit="1" customWidth="1"/>
    <col min="35" max="35" width="11.28515625" style="16" bestFit="1" customWidth="1"/>
    <col min="36" max="36" width="10.28515625" style="15" customWidth="1"/>
    <col min="37" max="37" width="10.5703125" style="10" bestFit="1" customWidth="1"/>
    <col min="38" max="38" width="11.28515625" style="16" bestFit="1" customWidth="1"/>
    <col min="39" max="39" width="10.28515625" style="15" customWidth="1"/>
    <col min="40" max="40" width="10.5703125" style="10" bestFit="1" customWidth="1"/>
    <col min="41" max="41" width="11.28515625" style="16" bestFit="1" customWidth="1"/>
    <col min="42" max="42" width="10.28515625" style="15" customWidth="1"/>
    <col min="43" max="43" width="9.28515625" style="10" customWidth="1"/>
    <col min="44" max="16384" width="9.28515625" style="10"/>
  </cols>
  <sheetData>
    <row r="1" spans="1:42" ht="13.5" thickBot="1" x14ac:dyDescent="0.25">
      <c r="I1" s="38"/>
      <c r="L1" s="38"/>
      <c r="O1" s="38"/>
      <c r="R1" s="38"/>
      <c r="U1" s="38"/>
      <c r="X1" s="38"/>
      <c r="AA1" s="38"/>
      <c r="AD1" s="38"/>
      <c r="AG1" s="38"/>
      <c r="AJ1" s="38"/>
      <c r="AM1" s="38"/>
      <c r="AP1" s="38"/>
    </row>
    <row r="2" spans="1:42" ht="13.5" thickTop="1" x14ac:dyDescent="0.2">
      <c r="A2" s="17"/>
      <c r="B2" s="1" t="str">
        <f>Inputs!B2</f>
        <v>Recruiter Name:</v>
      </c>
      <c r="C2" s="2" t="str">
        <f>Inputs!C2</f>
        <v>Vince Brindisi</v>
      </c>
      <c r="I2" s="38"/>
      <c r="L2" s="38"/>
      <c r="O2" s="38"/>
      <c r="R2" s="38"/>
      <c r="U2" s="38"/>
      <c r="X2" s="38"/>
      <c r="AA2" s="38"/>
      <c r="AD2" s="38"/>
      <c r="AG2" s="38"/>
      <c r="AJ2" s="38"/>
      <c r="AM2" s="38"/>
      <c r="AP2" s="38"/>
    </row>
    <row r="3" spans="1:42" x14ac:dyDescent="0.2">
      <c r="A3" s="18"/>
      <c r="B3" s="3" t="str">
        <f>Inputs!B3</f>
        <v>Initials:</v>
      </c>
      <c r="C3" s="107" t="str">
        <f>Inputs!C3</f>
        <v>VB</v>
      </c>
      <c r="I3" s="38"/>
      <c r="L3" s="38"/>
      <c r="O3" s="38"/>
      <c r="R3" s="38"/>
      <c r="U3" s="38"/>
      <c r="X3" s="38"/>
      <c r="AA3" s="38"/>
      <c r="AD3" s="38"/>
      <c r="AG3" s="38"/>
      <c r="AJ3" s="38"/>
      <c r="AM3" s="38"/>
      <c r="AP3" s="38"/>
    </row>
    <row r="4" spans="1:42" x14ac:dyDescent="0.2">
      <c r="A4" s="18"/>
      <c r="B4" s="3" t="str">
        <f>Inputs!B4</f>
        <v>Draw Balance:</v>
      </c>
      <c r="C4" s="129">
        <f>Inputs!C4</f>
        <v>-25297.93</v>
      </c>
      <c r="I4" s="38"/>
      <c r="L4" s="38"/>
      <c r="O4" s="38"/>
      <c r="R4" s="38"/>
      <c r="U4" s="38"/>
      <c r="X4" s="38"/>
      <c r="AA4" s="38"/>
      <c r="AD4" s="38"/>
      <c r="AG4" s="38"/>
      <c r="AJ4" s="38"/>
      <c r="AM4" s="38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I5" s="38"/>
      <c r="L5" s="38"/>
      <c r="O5" s="38"/>
      <c r="R5" s="38"/>
      <c r="U5" s="38"/>
      <c r="X5" s="38"/>
      <c r="AA5" s="38"/>
      <c r="AD5" s="38"/>
      <c r="AG5" s="38"/>
      <c r="AJ5" s="38"/>
      <c r="AM5" s="38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I6" s="38"/>
      <c r="L6" s="38"/>
      <c r="O6" s="38"/>
      <c r="R6" s="38"/>
      <c r="U6" s="38"/>
      <c r="X6" s="38"/>
      <c r="AA6" s="38"/>
      <c r="AD6" s="38"/>
      <c r="AG6" s="38"/>
      <c r="AJ6" s="38"/>
      <c r="AM6" s="38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I7" s="38"/>
      <c r="L7" s="38"/>
      <c r="O7" s="38"/>
      <c r="R7" s="38"/>
      <c r="U7" s="38"/>
      <c r="X7" s="38"/>
      <c r="AA7" s="38"/>
      <c r="AD7" s="38"/>
      <c r="AG7" s="38"/>
      <c r="AJ7" s="38"/>
      <c r="AM7" s="38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97206.25</v>
      </c>
      <c r="E8" s="245"/>
      <c r="I8" s="38"/>
      <c r="L8" s="38"/>
      <c r="O8" s="38"/>
      <c r="R8" s="38"/>
      <c r="U8" s="38"/>
      <c r="X8" s="38"/>
      <c r="AA8" s="38"/>
      <c r="AD8" s="38"/>
      <c r="AG8" s="38"/>
      <c r="AJ8" s="38"/>
      <c r="AM8" s="38"/>
      <c r="AP8" s="38"/>
    </row>
    <row r="9" spans="1:42" x14ac:dyDescent="0.2">
      <c r="A9" s="18"/>
      <c r="B9" s="3" t="str">
        <f>Inputs!B10</f>
        <v>YTD Staffing GM:</v>
      </c>
      <c r="C9" s="5">
        <f>Inputs!C10</f>
        <v>19028</v>
      </c>
      <c r="I9" s="38"/>
      <c r="L9" s="38"/>
      <c r="O9" s="38"/>
      <c r="R9" s="38"/>
      <c r="U9" s="38"/>
      <c r="X9" s="38"/>
      <c r="AA9" s="38"/>
      <c r="AD9" s="38"/>
      <c r="AG9" s="38"/>
      <c r="AJ9" s="38"/>
      <c r="AM9" s="38"/>
      <c r="AP9" s="38"/>
    </row>
    <row r="10" spans="1:42" x14ac:dyDescent="0.2">
      <c r="A10" s="18"/>
      <c r="B10" s="3" t="str">
        <f>Inputs!B11</f>
        <v>YTD Cash-In:</v>
      </c>
      <c r="C10" s="5">
        <f>Inputs!C11</f>
        <v>43768.75</v>
      </c>
      <c r="I10" s="38"/>
      <c r="L10" s="38"/>
      <c r="O10" s="38"/>
      <c r="R10" s="38"/>
      <c r="U10" s="38"/>
      <c r="X10" s="38"/>
      <c r="AA10" s="38"/>
      <c r="AD10" s="38"/>
      <c r="AG10" s="38"/>
      <c r="AJ10" s="38"/>
      <c r="AM10" s="38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25118.7</v>
      </c>
      <c r="I11" s="38"/>
      <c r="L11" s="38"/>
      <c r="O11" s="38"/>
      <c r="R11" s="38"/>
      <c r="U11" s="38"/>
      <c r="X11" s="38"/>
      <c r="AA11" s="38"/>
      <c r="AD11" s="38"/>
      <c r="AG11" s="38"/>
      <c r="AJ11" s="38"/>
      <c r="AM11" s="38"/>
      <c r="AP11" s="38"/>
    </row>
    <row r="12" spans="1:42" ht="15.75" customHeight="1" thickTop="1" thickBot="1" x14ac:dyDescent="0.25">
      <c r="B12" s="8"/>
      <c r="C12" s="9"/>
      <c r="D12" s="9"/>
      <c r="E12" s="9"/>
      <c r="I12" s="38"/>
      <c r="L12" s="38"/>
      <c r="O12" s="38"/>
      <c r="R12" s="38"/>
      <c r="U12" s="38"/>
      <c r="X12" s="38"/>
      <c r="AA12" s="38"/>
      <c r="AD12" s="38"/>
      <c r="AG12" s="38"/>
      <c r="AJ12" s="38"/>
      <c r="AM12" s="38"/>
      <c r="AP12" s="38"/>
    </row>
    <row r="13" spans="1:42" s="24" customFormat="1" x14ac:dyDescent="0.2">
      <c r="A13" s="20"/>
      <c r="B13" s="21"/>
      <c r="C13" s="21" t="s">
        <v>40</v>
      </c>
      <c r="D13" s="22" t="s">
        <v>41</v>
      </c>
      <c r="E13" s="22" t="s">
        <v>42</v>
      </c>
      <c r="F13" s="23"/>
      <c r="G13" s="48" t="s">
        <v>43</v>
      </c>
      <c r="H13" s="108" t="s">
        <v>44</v>
      </c>
      <c r="I13" s="49"/>
      <c r="J13" s="27" t="s">
        <v>45</v>
      </c>
      <c r="K13" s="109" t="s">
        <v>46</v>
      </c>
      <c r="L13" s="56"/>
      <c r="M13" s="60" t="s">
        <v>47</v>
      </c>
      <c r="N13" s="108" t="s">
        <v>48</v>
      </c>
      <c r="O13" s="49"/>
      <c r="P13" s="27" t="s">
        <v>49</v>
      </c>
      <c r="Q13" s="109" t="s">
        <v>50</v>
      </c>
      <c r="R13" s="56"/>
      <c r="S13" s="60" t="s">
        <v>51</v>
      </c>
      <c r="T13" s="110" t="s">
        <v>52</v>
      </c>
      <c r="U13" s="49"/>
      <c r="V13" s="27" t="s">
        <v>53</v>
      </c>
      <c r="W13" s="111" t="s">
        <v>54</v>
      </c>
      <c r="X13" s="56"/>
      <c r="Y13" s="65" t="s">
        <v>55</v>
      </c>
      <c r="Z13" s="110" t="s">
        <v>56</v>
      </c>
      <c r="AA13" s="49"/>
      <c r="AB13" s="27" t="s">
        <v>57</v>
      </c>
      <c r="AC13" s="111" t="s">
        <v>58</v>
      </c>
      <c r="AD13" s="56"/>
      <c r="AE13" s="60" t="s">
        <v>59</v>
      </c>
      <c r="AF13" s="110" t="s">
        <v>60</v>
      </c>
      <c r="AG13" s="49"/>
      <c r="AH13" s="28" t="s">
        <v>61</v>
      </c>
      <c r="AI13" s="111" t="s">
        <v>62</v>
      </c>
      <c r="AJ13" s="56"/>
      <c r="AK13" s="60" t="s">
        <v>63</v>
      </c>
      <c r="AL13" s="110" t="s">
        <v>64</v>
      </c>
      <c r="AM13" s="49"/>
      <c r="AN13" s="27" t="s">
        <v>65</v>
      </c>
      <c r="AO13" s="111" t="s">
        <v>66</v>
      </c>
      <c r="AP13" s="63"/>
    </row>
    <row r="14" spans="1:42" s="24" customFormat="1" x14ac:dyDescent="0.2">
      <c r="A14" s="29" t="s">
        <v>67</v>
      </c>
      <c r="B14" s="30" t="s">
        <v>68</v>
      </c>
      <c r="C14" s="30" t="s">
        <v>69</v>
      </c>
      <c r="D14" s="31" t="s">
        <v>70</v>
      </c>
      <c r="E14" s="31" t="s">
        <v>70</v>
      </c>
      <c r="F14" s="23"/>
      <c r="G14" s="50" t="s">
        <v>71</v>
      </c>
      <c r="H14" s="79" t="s">
        <v>72</v>
      </c>
      <c r="I14" s="51"/>
      <c r="J14" s="32" t="s">
        <v>71</v>
      </c>
      <c r="K14" s="80" t="s">
        <v>72</v>
      </c>
      <c r="L14" s="57"/>
      <c r="M14" s="61" t="s">
        <v>71</v>
      </c>
      <c r="N14" s="79" t="s">
        <v>72</v>
      </c>
      <c r="O14" s="51"/>
      <c r="P14" s="32" t="s">
        <v>71</v>
      </c>
      <c r="Q14" s="80" t="s">
        <v>72</v>
      </c>
      <c r="R14" s="57"/>
      <c r="S14" s="61" t="s">
        <v>71</v>
      </c>
      <c r="T14" s="81" t="s">
        <v>72</v>
      </c>
      <c r="U14" s="51"/>
      <c r="V14" s="32" t="s">
        <v>71</v>
      </c>
      <c r="W14" s="83" t="s">
        <v>72</v>
      </c>
      <c r="X14" s="57"/>
      <c r="Y14" s="61" t="s">
        <v>71</v>
      </c>
      <c r="Z14" s="81" t="s">
        <v>72</v>
      </c>
      <c r="AA14" s="51"/>
      <c r="AB14" s="32" t="s">
        <v>71</v>
      </c>
      <c r="AC14" s="83" t="s">
        <v>72</v>
      </c>
      <c r="AD14" s="57"/>
      <c r="AE14" s="61" t="s">
        <v>71</v>
      </c>
      <c r="AF14" s="81" t="s">
        <v>72</v>
      </c>
      <c r="AG14" s="51"/>
      <c r="AH14" s="32" t="s">
        <v>71</v>
      </c>
      <c r="AI14" s="83" t="s">
        <v>72</v>
      </c>
      <c r="AJ14" s="57"/>
      <c r="AK14" s="61" t="s">
        <v>71</v>
      </c>
      <c r="AL14" s="81" t="s">
        <v>72</v>
      </c>
      <c r="AM14" s="51"/>
      <c r="AN14" s="32" t="s">
        <v>71</v>
      </c>
      <c r="AO14" s="83" t="s">
        <v>72</v>
      </c>
      <c r="AP14" s="64"/>
    </row>
    <row r="15" spans="1:42" s="38" customFormat="1" x14ac:dyDescent="0.2">
      <c r="A15" s="33" t="str">
        <f>Inputs!C15</f>
        <v>Davita Brown</v>
      </c>
      <c r="B15" s="151" t="str">
        <f>Inputs!B15</f>
        <v xml:space="preserve">Marker Management </v>
      </c>
      <c r="C15" s="34">
        <f>Inputs!J15</f>
        <v>14625</v>
      </c>
      <c r="D15" s="35">
        <f>Inputs!D15</f>
        <v>46027</v>
      </c>
      <c r="E15" s="35">
        <f>Inputs!F15</f>
        <v>46051</v>
      </c>
      <c r="F15" s="37"/>
      <c r="G15" s="74">
        <f t="shared" ref="G15:G21" si="0">IF(AND(D15&gt;=DATE(+$C$5,1,1), (D15&lt;=DATE(+$C$5,1,31))), +$C15,)</f>
        <v>14625</v>
      </c>
      <c r="H15" s="74">
        <f t="shared" ref="H15:H21" si="1">IF(AND(E15&gt;=DATE(+$C$5,1,1), (E15&lt;=DATE(+$C$5,1,31))), +$C15,)</f>
        <v>14625</v>
      </c>
      <c r="I15" s="77"/>
      <c r="J15" s="75">
        <f t="shared" ref="J15:J75" si="2">IF(AND(D15&gt;=DATE(+$C$5,2,1), (D15&lt;=DATE(+$C$5,2,28))), +$C15,)</f>
        <v>0</v>
      </c>
      <c r="K15" s="75">
        <f t="shared" ref="K15:K21" si="3">IF(AND(E15&gt;=DATE(+$C$5,2,1), (E15&lt;=DATE(+$C$5,2,29))), +$C15,)</f>
        <v>0</v>
      </c>
      <c r="L15" s="78"/>
      <c r="M15" s="76">
        <f t="shared" ref="M15:M33" si="4">IF(AND(D15&gt;=DATE(+$C$5,3,1), (D15&lt;=DATE(+$C$5,3,31))), +$C15,)</f>
        <v>0</v>
      </c>
      <c r="N15" s="76">
        <f t="shared" ref="N15:N34" si="5">IF(AND(E15&gt;=DATE(+$C$5,3,1), (E15&lt;=DATE(+$C$5,3,31))), +$C15,)</f>
        <v>0</v>
      </c>
      <c r="O15" s="77"/>
      <c r="P15" s="75">
        <f t="shared" ref="P15:P38" si="6">IF(AND(D15&gt;=DATE(+$C$5,4,1), (D15&lt;=DATE(+$C$5,4,30))), +$C15,)</f>
        <v>0</v>
      </c>
      <c r="Q15" s="75">
        <f t="shared" ref="Q15:Q41" si="7">IF(AND(E15&gt;=DATE(+$C$5,4,1), (E15&lt;=DATE(+$C$5,4,30))), +$C15,)</f>
        <v>0</v>
      </c>
      <c r="R15" s="78"/>
      <c r="S15" s="76">
        <f t="shared" ref="S15:S43" si="8">IF(AND(D15&gt;=DATE(+$C$5,5,1), (D15&lt;=DATE(+$C$5,5,31))), +$C15,)</f>
        <v>0</v>
      </c>
      <c r="T15" s="76">
        <f t="shared" ref="T15:T43" si="9">IF(AND(E15&gt;=DATE(+$C$5,5,1), (E15&lt;=DATE(+$C$5,5,31))), +$C15,)</f>
        <v>0</v>
      </c>
      <c r="U15" s="77"/>
      <c r="V15" s="82">
        <f t="shared" ref="V15:V52" si="10">IF(AND(D15&gt;=DATE(+$C$5,6,1), (D15&lt;=DATE(+$C$5,6,30))), +$C15,)</f>
        <v>0</v>
      </c>
      <c r="W15" s="82">
        <f t="shared" ref="W15:W36" si="11">IF(AND(E15&gt;=DATE(+$C$5,6,1), (E15&lt;=DATE(+$C$5,6,30))), +$C15,)</f>
        <v>0</v>
      </c>
      <c r="X15" s="78"/>
      <c r="Y15" s="76">
        <f t="shared" ref="Y15:Y38" si="12">IF(AND(D15&gt;=DATE(+$C$5,7,1), (D15&lt;=DATE(+$C$5,7,31))), +$C15,)</f>
        <v>0</v>
      </c>
      <c r="Z15" s="76">
        <f t="shared" ref="Z15:Z40" si="13">IF(AND(E15&gt;=DATE(+$C$5,7,1), (E15&lt;=DATE(+$C$5,7,31))), +$C15,)</f>
        <v>0</v>
      </c>
      <c r="AA15" s="77"/>
      <c r="AB15" s="75">
        <f t="shared" ref="AB15:AB46" si="14">IF(AND(D15&gt;=DATE(+$C$5,8,1), (D15&lt;=DATE(+$C$5,8,31))), +$C15,)</f>
        <v>0</v>
      </c>
      <c r="AC15" s="75">
        <f t="shared" ref="AC15:AC45" si="15">IF(AND(E15&gt;=DATE(+$C$5,8,1), (E15&lt;=DATE(+$C$5,8,31))), +$C15,)</f>
        <v>0</v>
      </c>
      <c r="AD15" s="78"/>
      <c r="AE15" s="76">
        <f t="shared" ref="AE15:AE41" si="16">IF(AND(D15&gt;=DATE(+$C$5,9,1), (D15&lt;=DATE(+$C$5,9,30))), +$C15,)</f>
        <v>0</v>
      </c>
      <c r="AF15" s="76">
        <f t="shared" ref="AF15:AF21" si="17">IF(AND(E15&gt;=DATE(+$C$5,9,1), (E15&lt;=DATE(+$C$5,9,30))), +$C15,)</f>
        <v>0</v>
      </c>
      <c r="AG15" s="77"/>
      <c r="AH15" s="75">
        <f t="shared" ref="AH15:AH21" si="18">IF(AND(D15&gt;=DATE(+$C$5,10,1), (D15&lt;=DATE(+$C$5,10,31))), +$C15,)</f>
        <v>0</v>
      </c>
      <c r="AI15" s="75">
        <f t="shared" ref="AI15:AI21" si="19">IF(AND(E15&gt;=DATE(+$C$5,10,1), (E15&lt;=DATE(+$C$5,10,31))), +$C15,)</f>
        <v>0</v>
      </c>
      <c r="AJ15" s="78"/>
      <c r="AK15" s="76">
        <f t="shared" ref="AK15:AK21" si="20">IF(AND(D15&gt;=DATE(+$C$5,11,1), (D15&lt;=DATE(+$C$5,11,30))), +$C15,)</f>
        <v>0</v>
      </c>
      <c r="AL15" s="76">
        <f t="shared" ref="AL15:AL21" si="21">IF(AND(E15&gt;=DATE(+$C$5,11,1), (E15&lt;=DATE(+$C$5,11,30))), +$C15,)</f>
        <v>0</v>
      </c>
      <c r="AM15" s="77"/>
      <c r="AN15" s="75">
        <f t="shared" ref="AN15:AN21" si="22">IF(AND(D15&gt;=DATE(+$C$5,12,1), (D15&lt;=DATE(+$C$5,12,31))), +$C15,)</f>
        <v>0</v>
      </c>
      <c r="AO15" s="75">
        <f t="shared" ref="AO15:AO21" si="23">IF(AND(E15&gt;=DATE(+$C$5,12,1), (E15&lt;=DATE(+$C$5,12,31))), +$C15,)</f>
        <v>0</v>
      </c>
      <c r="AP15" s="84"/>
    </row>
    <row r="16" spans="1:42" s="38" customFormat="1" x14ac:dyDescent="0.2">
      <c r="A16" s="33" t="str">
        <f>Inputs!C16</f>
        <v xml:space="preserve">Ryan Weaver </v>
      </c>
      <c r="B16" s="151" t="str">
        <f>Inputs!B16</f>
        <v>Proconex</v>
      </c>
      <c r="C16" s="34">
        <f>Inputs!J16</f>
        <v>16875</v>
      </c>
      <c r="D16" s="35">
        <f>Inputs!D16</f>
        <v>46069</v>
      </c>
      <c r="E16" s="35">
        <f>Inputs!F16</f>
        <v>46073</v>
      </c>
      <c r="F16" s="37"/>
      <c r="G16" s="74">
        <f t="shared" si="0"/>
        <v>0</v>
      </c>
      <c r="H16" s="74">
        <f t="shared" si="1"/>
        <v>0</v>
      </c>
      <c r="I16" s="77"/>
      <c r="J16" s="75">
        <f t="shared" si="2"/>
        <v>16875</v>
      </c>
      <c r="K16" s="75">
        <f t="shared" si="3"/>
        <v>16875</v>
      </c>
      <c r="L16" s="78"/>
      <c r="M16" s="76">
        <f t="shared" si="4"/>
        <v>0</v>
      </c>
      <c r="N16" s="76">
        <f t="shared" si="5"/>
        <v>0</v>
      </c>
      <c r="O16" s="77"/>
      <c r="P16" s="75">
        <f t="shared" si="6"/>
        <v>0</v>
      </c>
      <c r="Q16" s="75">
        <f t="shared" si="7"/>
        <v>0</v>
      </c>
      <c r="R16" s="78"/>
      <c r="S16" s="76">
        <f t="shared" si="8"/>
        <v>0</v>
      </c>
      <c r="T16" s="76">
        <f t="shared" si="9"/>
        <v>0</v>
      </c>
      <c r="U16" s="77"/>
      <c r="V16" s="82">
        <f t="shared" si="10"/>
        <v>0</v>
      </c>
      <c r="W16" s="82">
        <f t="shared" si="11"/>
        <v>0</v>
      </c>
      <c r="X16" s="78"/>
      <c r="Y16" s="76">
        <f t="shared" si="12"/>
        <v>0</v>
      </c>
      <c r="Z16" s="76">
        <f t="shared" si="13"/>
        <v>0</v>
      </c>
      <c r="AA16" s="77"/>
      <c r="AB16" s="75">
        <f t="shared" si="14"/>
        <v>0</v>
      </c>
      <c r="AC16" s="75">
        <f t="shared" si="15"/>
        <v>0</v>
      </c>
      <c r="AD16" s="78"/>
      <c r="AE16" s="76">
        <f t="shared" si="16"/>
        <v>0</v>
      </c>
      <c r="AF16" s="76">
        <f t="shared" si="17"/>
        <v>0</v>
      </c>
      <c r="AG16" s="77"/>
      <c r="AH16" s="75">
        <f t="shared" si="18"/>
        <v>0</v>
      </c>
      <c r="AI16" s="75">
        <f t="shared" si="19"/>
        <v>0</v>
      </c>
      <c r="AJ16" s="78"/>
      <c r="AK16" s="76">
        <f t="shared" si="20"/>
        <v>0</v>
      </c>
      <c r="AL16" s="76">
        <f t="shared" si="21"/>
        <v>0</v>
      </c>
      <c r="AM16" s="77"/>
      <c r="AN16" s="75">
        <f t="shared" si="22"/>
        <v>0</v>
      </c>
      <c r="AO16" s="75">
        <f t="shared" si="23"/>
        <v>0</v>
      </c>
      <c r="AP16" s="84"/>
    </row>
    <row r="17" spans="1:42" s="38" customFormat="1" x14ac:dyDescent="0.2">
      <c r="A17" s="33" t="str">
        <f>Inputs!C17</f>
        <v>Davita Brown - Falloff</v>
      </c>
      <c r="B17" s="151" t="str">
        <f>Inputs!B17</f>
        <v xml:space="preserve">Marker Management </v>
      </c>
      <c r="C17" s="34">
        <f>Inputs!J17</f>
        <v>-8450</v>
      </c>
      <c r="D17" s="35">
        <f>Inputs!D17</f>
        <v>46069</v>
      </c>
      <c r="E17" s="35">
        <f>Inputs!F17</f>
        <v>46069</v>
      </c>
      <c r="F17" s="37"/>
      <c r="G17" s="74">
        <f t="shared" si="0"/>
        <v>0</v>
      </c>
      <c r="H17" s="74">
        <f t="shared" si="1"/>
        <v>0</v>
      </c>
      <c r="I17" s="77"/>
      <c r="J17" s="75">
        <f t="shared" si="2"/>
        <v>-8450</v>
      </c>
      <c r="K17" s="75">
        <f t="shared" si="3"/>
        <v>-8450</v>
      </c>
      <c r="L17" s="78"/>
      <c r="M17" s="76">
        <f t="shared" si="4"/>
        <v>0</v>
      </c>
      <c r="N17" s="76">
        <f t="shared" si="5"/>
        <v>0</v>
      </c>
      <c r="O17" s="77"/>
      <c r="P17" s="75">
        <f t="shared" si="6"/>
        <v>0</v>
      </c>
      <c r="Q17" s="75">
        <f t="shared" si="7"/>
        <v>0</v>
      </c>
      <c r="R17" s="78"/>
      <c r="S17" s="76">
        <f t="shared" si="8"/>
        <v>0</v>
      </c>
      <c r="T17" s="76">
        <f t="shared" si="9"/>
        <v>0</v>
      </c>
      <c r="U17" s="77"/>
      <c r="V17" s="82">
        <f t="shared" si="10"/>
        <v>0</v>
      </c>
      <c r="W17" s="82">
        <f t="shared" si="11"/>
        <v>0</v>
      </c>
      <c r="X17" s="78"/>
      <c r="Y17" s="76">
        <f t="shared" si="12"/>
        <v>0</v>
      </c>
      <c r="Z17" s="76">
        <f t="shared" si="13"/>
        <v>0</v>
      </c>
      <c r="AA17" s="77"/>
      <c r="AB17" s="75">
        <f t="shared" si="14"/>
        <v>0</v>
      </c>
      <c r="AC17" s="75">
        <f t="shared" si="15"/>
        <v>0</v>
      </c>
      <c r="AD17" s="78"/>
      <c r="AE17" s="76">
        <f t="shared" si="16"/>
        <v>0</v>
      </c>
      <c r="AF17" s="76">
        <f t="shared" si="17"/>
        <v>0</v>
      </c>
      <c r="AG17" s="77"/>
      <c r="AH17" s="75">
        <f t="shared" si="18"/>
        <v>0</v>
      </c>
      <c r="AI17" s="75">
        <f t="shared" si="19"/>
        <v>0</v>
      </c>
      <c r="AJ17" s="78"/>
      <c r="AK17" s="76">
        <f t="shared" si="20"/>
        <v>0</v>
      </c>
      <c r="AL17" s="76">
        <f t="shared" si="21"/>
        <v>0</v>
      </c>
      <c r="AM17" s="77"/>
      <c r="AN17" s="75">
        <f t="shared" si="22"/>
        <v>0</v>
      </c>
      <c r="AO17" s="75">
        <f t="shared" si="23"/>
        <v>0</v>
      </c>
      <c r="AP17" s="84"/>
    </row>
    <row r="18" spans="1:42" s="38" customFormat="1" x14ac:dyDescent="0.2">
      <c r="A18" s="33" t="str">
        <f>Inputs!C18</f>
        <v>Jared Wood</v>
      </c>
      <c r="B18" s="151" t="str">
        <f>Inputs!B18</f>
        <v xml:space="preserve">Bentley Systems </v>
      </c>
      <c r="C18" s="34">
        <f>Inputs!J18</f>
        <v>20718.75</v>
      </c>
      <c r="D18" s="35">
        <f>Inputs!D18</f>
        <v>46098</v>
      </c>
      <c r="E18" s="35">
        <f>Inputs!F18</f>
        <v>46171</v>
      </c>
      <c r="F18" s="37"/>
      <c r="G18" s="74">
        <f t="shared" si="0"/>
        <v>0</v>
      </c>
      <c r="H18" s="74">
        <f t="shared" si="1"/>
        <v>0</v>
      </c>
      <c r="I18" s="77"/>
      <c r="J18" s="75">
        <f t="shared" si="2"/>
        <v>0</v>
      </c>
      <c r="K18" s="75">
        <f t="shared" si="3"/>
        <v>0</v>
      </c>
      <c r="L18" s="78"/>
      <c r="M18" s="76">
        <f t="shared" si="4"/>
        <v>20718.75</v>
      </c>
      <c r="N18" s="76">
        <f t="shared" si="5"/>
        <v>0</v>
      </c>
      <c r="O18" s="77"/>
      <c r="P18" s="75">
        <f t="shared" si="6"/>
        <v>0</v>
      </c>
      <c r="Q18" s="75">
        <f t="shared" si="7"/>
        <v>0</v>
      </c>
      <c r="R18" s="78"/>
      <c r="S18" s="76">
        <f t="shared" si="8"/>
        <v>0</v>
      </c>
      <c r="T18" s="76">
        <f t="shared" si="9"/>
        <v>20718.75</v>
      </c>
      <c r="U18" s="77"/>
      <c r="V18" s="82">
        <f t="shared" si="10"/>
        <v>0</v>
      </c>
      <c r="W18" s="82">
        <f t="shared" si="11"/>
        <v>0</v>
      </c>
      <c r="X18" s="78"/>
      <c r="Y18" s="76">
        <f t="shared" si="12"/>
        <v>0</v>
      </c>
      <c r="Z18" s="76">
        <f t="shared" si="13"/>
        <v>0</v>
      </c>
      <c r="AA18" s="77"/>
      <c r="AB18" s="75">
        <f t="shared" si="14"/>
        <v>0</v>
      </c>
      <c r="AC18" s="75">
        <f t="shared" si="15"/>
        <v>0</v>
      </c>
      <c r="AD18" s="78"/>
      <c r="AE18" s="76">
        <f t="shared" si="16"/>
        <v>0</v>
      </c>
      <c r="AF18" s="76">
        <f t="shared" si="17"/>
        <v>0</v>
      </c>
      <c r="AG18" s="77"/>
      <c r="AH18" s="75">
        <f t="shared" si="18"/>
        <v>0</v>
      </c>
      <c r="AI18" s="75">
        <f t="shared" si="19"/>
        <v>0</v>
      </c>
      <c r="AJ18" s="78"/>
      <c r="AK18" s="76">
        <f t="shared" si="20"/>
        <v>0</v>
      </c>
      <c r="AL18" s="76">
        <f t="shared" si="21"/>
        <v>0</v>
      </c>
      <c r="AM18" s="77"/>
      <c r="AN18" s="75">
        <f t="shared" si="22"/>
        <v>0</v>
      </c>
      <c r="AO18" s="75">
        <f t="shared" si="23"/>
        <v>0</v>
      </c>
      <c r="AP18" s="84"/>
    </row>
    <row r="19" spans="1:42" s="38" customFormat="1" x14ac:dyDescent="0.2">
      <c r="A19" s="33" t="str">
        <f>Inputs!C19</f>
        <v>Christopher Mcdonnel</v>
      </c>
      <c r="B19" s="151" t="str">
        <f>Inputs!B19</f>
        <v xml:space="preserve">Bentley Systems </v>
      </c>
      <c r="C19" s="34">
        <f>Inputs!J19</f>
        <v>25187.5</v>
      </c>
      <c r="D19" s="35">
        <f>Inputs!D19</f>
        <v>46153</v>
      </c>
      <c r="E19" s="35">
        <f>Inputs!F19</f>
        <v>0</v>
      </c>
      <c r="F19" s="37"/>
      <c r="G19" s="74">
        <f t="shared" si="0"/>
        <v>0</v>
      </c>
      <c r="H19" s="74">
        <f t="shared" si="1"/>
        <v>0</v>
      </c>
      <c r="I19" s="77"/>
      <c r="J19" s="75">
        <f t="shared" si="2"/>
        <v>0</v>
      </c>
      <c r="K19" s="75">
        <f t="shared" si="3"/>
        <v>0</v>
      </c>
      <c r="L19" s="78"/>
      <c r="M19" s="76">
        <f t="shared" si="4"/>
        <v>0</v>
      </c>
      <c r="N19" s="76">
        <f t="shared" si="5"/>
        <v>0</v>
      </c>
      <c r="O19" s="77"/>
      <c r="P19" s="75">
        <f t="shared" si="6"/>
        <v>0</v>
      </c>
      <c r="Q19" s="75">
        <f t="shared" si="7"/>
        <v>0</v>
      </c>
      <c r="R19" s="78"/>
      <c r="S19" s="76">
        <f t="shared" si="8"/>
        <v>25187.5</v>
      </c>
      <c r="T19" s="76">
        <f t="shared" si="9"/>
        <v>0</v>
      </c>
      <c r="U19" s="77"/>
      <c r="V19" s="82">
        <f t="shared" si="10"/>
        <v>0</v>
      </c>
      <c r="W19" s="82">
        <f t="shared" si="11"/>
        <v>0</v>
      </c>
      <c r="X19" s="78"/>
      <c r="Y19" s="76">
        <f t="shared" si="12"/>
        <v>0</v>
      </c>
      <c r="Z19" s="76">
        <f t="shared" si="13"/>
        <v>0</v>
      </c>
      <c r="AA19" s="77"/>
      <c r="AB19" s="75">
        <f t="shared" si="14"/>
        <v>0</v>
      </c>
      <c r="AC19" s="75">
        <f t="shared" si="15"/>
        <v>0</v>
      </c>
      <c r="AD19" s="78"/>
      <c r="AE19" s="76">
        <f t="shared" si="16"/>
        <v>0</v>
      </c>
      <c r="AF19" s="76">
        <f t="shared" si="17"/>
        <v>0</v>
      </c>
      <c r="AG19" s="77"/>
      <c r="AH19" s="75">
        <f t="shared" si="18"/>
        <v>0</v>
      </c>
      <c r="AI19" s="75">
        <f t="shared" si="19"/>
        <v>0</v>
      </c>
      <c r="AJ19" s="78"/>
      <c r="AK19" s="76">
        <f t="shared" si="20"/>
        <v>0</v>
      </c>
      <c r="AL19" s="76">
        <f t="shared" si="21"/>
        <v>0</v>
      </c>
      <c r="AM19" s="77"/>
      <c r="AN19" s="75">
        <f t="shared" si="22"/>
        <v>0</v>
      </c>
      <c r="AO19" s="75">
        <f t="shared" si="23"/>
        <v>0</v>
      </c>
      <c r="AP19" s="84"/>
    </row>
    <row r="20" spans="1:42" s="38" customFormat="1" x14ac:dyDescent="0.2">
      <c r="A20" s="33" t="str">
        <f>Inputs!C20</f>
        <v>Jessly Joseph</v>
      </c>
      <c r="B20" s="151" t="str">
        <f>Inputs!B20</f>
        <v>RPM</v>
      </c>
      <c r="C20" s="34">
        <f>Inputs!J20</f>
        <v>18750</v>
      </c>
      <c r="D20" s="35">
        <f>Inputs!D20</f>
        <v>46153</v>
      </c>
      <c r="E20" s="35">
        <f>Inputs!F20</f>
        <v>0</v>
      </c>
      <c r="F20" s="37"/>
      <c r="G20" s="74">
        <f t="shared" si="0"/>
        <v>0</v>
      </c>
      <c r="H20" s="74">
        <f t="shared" si="1"/>
        <v>0</v>
      </c>
      <c r="I20" s="77"/>
      <c r="J20" s="75">
        <f t="shared" si="2"/>
        <v>0</v>
      </c>
      <c r="K20" s="75">
        <f t="shared" si="3"/>
        <v>0</v>
      </c>
      <c r="L20" s="78"/>
      <c r="M20" s="76">
        <f t="shared" si="4"/>
        <v>0</v>
      </c>
      <c r="N20" s="76">
        <f t="shared" si="5"/>
        <v>0</v>
      </c>
      <c r="O20" s="77"/>
      <c r="P20" s="75">
        <f t="shared" si="6"/>
        <v>0</v>
      </c>
      <c r="Q20" s="75">
        <f t="shared" si="7"/>
        <v>0</v>
      </c>
      <c r="R20" s="78"/>
      <c r="S20" s="76">
        <f t="shared" si="8"/>
        <v>18750</v>
      </c>
      <c r="T20" s="76">
        <f t="shared" si="9"/>
        <v>0</v>
      </c>
      <c r="U20" s="77"/>
      <c r="V20" s="82">
        <f t="shared" si="10"/>
        <v>0</v>
      </c>
      <c r="W20" s="82">
        <f t="shared" si="11"/>
        <v>0</v>
      </c>
      <c r="X20" s="78"/>
      <c r="Y20" s="76">
        <f t="shared" si="12"/>
        <v>0</v>
      </c>
      <c r="Z20" s="76">
        <f t="shared" si="13"/>
        <v>0</v>
      </c>
      <c r="AA20" s="77"/>
      <c r="AB20" s="75">
        <f t="shared" si="14"/>
        <v>0</v>
      </c>
      <c r="AC20" s="75">
        <f t="shared" si="15"/>
        <v>0</v>
      </c>
      <c r="AD20" s="78"/>
      <c r="AE20" s="76">
        <f t="shared" si="16"/>
        <v>0</v>
      </c>
      <c r="AF20" s="76">
        <f t="shared" si="17"/>
        <v>0</v>
      </c>
      <c r="AG20" s="77"/>
      <c r="AH20" s="75">
        <f t="shared" si="18"/>
        <v>0</v>
      </c>
      <c r="AI20" s="75">
        <f t="shared" si="19"/>
        <v>0</v>
      </c>
      <c r="AJ20" s="78"/>
      <c r="AK20" s="76">
        <f t="shared" si="20"/>
        <v>0</v>
      </c>
      <c r="AL20" s="76">
        <f t="shared" si="21"/>
        <v>0</v>
      </c>
      <c r="AM20" s="77"/>
      <c r="AN20" s="75">
        <f t="shared" si="22"/>
        <v>0</v>
      </c>
      <c r="AO20" s="75">
        <f t="shared" si="23"/>
        <v>0</v>
      </c>
      <c r="AP20" s="84"/>
    </row>
    <row r="21" spans="1:42" s="38" customFormat="1" x14ac:dyDescent="0.2">
      <c r="A21" s="33" t="str">
        <f>Inputs!C21</f>
        <v>Luke Nuneviller</v>
      </c>
      <c r="B21" s="151" t="str">
        <f>Inputs!B21</f>
        <v>AAMCO</v>
      </c>
      <c r="C21" s="34">
        <f>Inputs!J21</f>
        <v>9500</v>
      </c>
      <c r="D21" s="35">
        <f>Inputs!D21</f>
        <v>46181</v>
      </c>
      <c r="E21" s="35">
        <f>Inputs!F21</f>
        <v>0</v>
      </c>
      <c r="F21" s="37"/>
      <c r="G21" s="74">
        <f t="shared" si="0"/>
        <v>0</v>
      </c>
      <c r="H21" s="74">
        <f t="shared" si="1"/>
        <v>0</v>
      </c>
      <c r="I21" s="77"/>
      <c r="J21" s="75">
        <f t="shared" si="2"/>
        <v>0</v>
      </c>
      <c r="K21" s="75">
        <f t="shared" si="3"/>
        <v>0</v>
      </c>
      <c r="L21" s="78"/>
      <c r="M21" s="76">
        <f>IF(AND(D21&gt;=DATE(+$C$5,3,1), (D21&lt;=DATE(+$C$5,3,31))), +$C21,)</f>
        <v>0</v>
      </c>
      <c r="N21" s="76">
        <f t="shared" si="5"/>
        <v>0</v>
      </c>
      <c r="O21" s="77"/>
      <c r="P21" s="75">
        <f t="shared" si="6"/>
        <v>0</v>
      </c>
      <c r="Q21" s="75">
        <f t="shared" si="7"/>
        <v>0</v>
      </c>
      <c r="R21" s="78"/>
      <c r="S21" s="76">
        <f t="shared" si="8"/>
        <v>0</v>
      </c>
      <c r="T21" s="76">
        <f t="shared" si="9"/>
        <v>0</v>
      </c>
      <c r="U21" s="77"/>
      <c r="V21" s="82">
        <f t="shared" si="10"/>
        <v>9500</v>
      </c>
      <c r="W21" s="82">
        <f t="shared" si="11"/>
        <v>0</v>
      </c>
      <c r="X21" s="78"/>
      <c r="Y21" s="76">
        <f t="shared" si="12"/>
        <v>0</v>
      </c>
      <c r="Z21" s="76">
        <f t="shared" si="13"/>
        <v>0</v>
      </c>
      <c r="AA21" s="77"/>
      <c r="AB21" s="75">
        <f t="shared" si="14"/>
        <v>0</v>
      </c>
      <c r="AC21" s="75">
        <f t="shared" si="15"/>
        <v>0</v>
      </c>
      <c r="AD21" s="78"/>
      <c r="AE21" s="76">
        <f t="shared" si="16"/>
        <v>0</v>
      </c>
      <c r="AF21" s="76">
        <f t="shared" si="17"/>
        <v>0</v>
      </c>
      <c r="AG21" s="77"/>
      <c r="AH21" s="75">
        <f t="shared" si="18"/>
        <v>0</v>
      </c>
      <c r="AI21" s="75">
        <f t="shared" si="19"/>
        <v>0</v>
      </c>
      <c r="AJ21" s="78"/>
      <c r="AK21" s="76">
        <f t="shared" si="20"/>
        <v>0</v>
      </c>
      <c r="AL21" s="76">
        <f t="shared" si="21"/>
        <v>0</v>
      </c>
      <c r="AM21" s="77"/>
      <c r="AN21" s="75">
        <f t="shared" si="22"/>
        <v>0</v>
      </c>
      <c r="AO21" s="75">
        <f t="shared" si="23"/>
        <v>0</v>
      </c>
      <c r="AP21" s="84"/>
    </row>
    <row r="22" spans="1:42" s="38" customFormat="1" x14ac:dyDescent="0.2">
      <c r="A22" s="33">
        <f>Inputs!C22</f>
        <v>0</v>
      </c>
      <c r="B22" s="151">
        <f>Inputs!B22</f>
        <v>0</v>
      </c>
      <c r="C22" s="34">
        <f>Inputs!J22</f>
        <v>0</v>
      </c>
      <c r="D22" s="35">
        <f>Inputs!D22</f>
        <v>0</v>
      </c>
      <c r="E22" s="35">
        <f>Inputs!F22</f>
        <v>0</v>
      </c>
      <c r="F22" s="37"/>
      <c r="G22" s="74">
        <f t="shared" ref="G22:G53" si="24">IF(AND(D22&gt;=DATE(+$C$5,1,1), (D22&lt;=DATE(+$C$5,1,31))), +$C22,)</f>
        <v>0</v>
      </c>
      <c r="H22" s="74">
        <f t="shared" ref="H22:H53" si="25">IF(AND(E22&gt;=DATE(+$C$5,1,1), (E22&lt;=DATE(+$C$5,1,31))), +$C22,)</f>
        <v>0</v>
      </c>
      <c r="I22" s="77"/>
      <c r="J22" s="75">
        <f t="shared" si="2"/>
        <v>0</v>
      </c>
      <c r="K22" s="75">
        <f t="shared" ref="K22:K53" si="26">IF(AND(E22&gt;=DATE(+$C$5,2,1), (E22&lt;=DATE(+$C$5,2,29))), +$C22,)</f>
        <v>0</v>
      </c>
      <c r="L22" s="78"/>
      <c r="M22" s="76">
        <f t="shared" si="4"/>
        <v>0</v>
      </c>
      <c r="N22" s="76">
        <f t="shared" si="5"/>
        <v>0</v>
      </c>
      <c r="O22" s="77"/>
      <c r="P22" s="75">
        <f t="shared" si="6"/>
        <v>0</v>
      </c>
      <c r="Q22" s="75">
        <f t="shared" si="7"/>
        <v>0</v>
      </c>
      <c r="R22" s="78"/>
      <c r="S22" s="76">
        <f t="shared" si="8"/>
        <v>0</v>
      </c>
      <c r="T22" s="76">
        <f t="shared" si="9"/>
        <v>0</v>
      </c>
      <c r="U22" s="77"/>
      <c r="V22" s="82">
        <f t="shared" si="10"/>
        <v>0</v>
      </c>
      <c r="W22" s="82">
        <f t="shared" si="11"/>
        <v>0</v>
      </c>
      <c r="X22" s="78"/>
      <c r="Y22" s="76">
        <f t="shared" si="12"/>
        <v>0</v>
      </c>
      <c r="Z22" s="76">
        <f t="shared" si="13"/>
        <v>0</v>
      </c>
      <c r="AA22" s="77"/>
      <c r="AB22" s="75">
        <f t="shared" si="14"/>
        <v>0</v>
      </c>
      <c r="AC22" s="75">
        <f t="shared" si="15"/>
        <v>0</v>
      </c>
      <c r="AD22" s="78"/>
      <c r="AE22" s="76">
        <f t="shared" si="16"/>
        <v>0</v>
      </c>
      <c r="AF22" s="76">
        <f t="shared" ref="AF22:AF53" si="27">IF(AND(E22&gt;=DATE(+$C$5,9,1), (E22&lt;=DATE(+$C$5,9,30))), +$C22,)</f>
        <v>0</v>
      </c>
      <c r="AG22" s="77"/>
      <c r="AH22" s="75">
        <f t="shared" ref="AH22:AH53" si="28">IF(AND(D22&gt;=DATE(+$C$5,10,1), (D22&lt;=DATE(+$C$5,10,31))), +$C22,)</f>
        <v>0</v>
      </c>
      <c r="AI22" s="75">
        <f t="shared" ref="AI22:AI53" si="29">IF(AND(E22&gt;=DATE(+$C$5,10,1), (E22&lt;=DATE(+$C$5,10,31))), +$C22,)</f>
        <v>0</v>
      </c>
      <c r="AJ22" s="78"/>
      <c r="AK22" s="76">
        <f t="shared" ref="AK22:AK53" si="30">IF(AND(D22&gt;=DATE(+$C$5,11,1), (D22&lt;=DATE(+$C$5,11,30))), +$C22,)</f>
        <v>0</v>
      </c>
      <c r="AL22" s="76">
        <f t="shared" ref="AL22:AL53" si="31">IF(AND(E22&gt;=DATE(+$C$5,11,1), (E22&lt;=DATE(+$C$5,11,30))), +$C22,)</f>
        <v>0</v>
      </c>
      <c r="AM22" s="77"/>
      <c r="AN22" s="75">
        <f t="shared" ref="AN22:AN53" si="32">IF(AND(D22&gt;=DATE(+$C$5,12,1), (D22&lt;=DATE(+$C$5,12,31))), +$C22,)</f>
        <v>0</v>
      </c>
      <c r="AO22" s="75">
        <f t="shared" ref="AO22:AO53" si="33">IF(AND(E22&gt;=DATE(+$C$5,12,1), (E22&lt;=DATE(+$C$5,12,31))), +$C22,)</f>
        <v>0</v>
      </c>
      <c r="AP22" s="84"/>
    </row>
    <row r="23" spans="1:42" s="38" customFormat="1" x14ac:dyDescent="0.2">
      <c r="A23" s="33">
        <f>Inputs!C23</f>
        <v>0</v>
      </c>
      <c r="B23" s="151">
        <f>Inputs!B23</f>
        <v>0</v>
      </c>
      <c r="C23" s="34">
        <f>Inputs!J23</f>
        <v>0</v>
      </c>
      <c r="D23" s="35">
        <f>Inputs!D23</f>
        <v>0</v>
      </c>
      <c r="E23" s="35">
        <f>Inputs!F23</f>
        <v>0</v>
      </c>
      <c r="F23" s="37"/>
      <c r="G23" s="74">
        <f t="shared" si="24"/>
        <v>0</v>
      </c>
      <c r="H23" s="74">
        <f t="shared" si="25"/>
        <v>0</v>
      </c>
      <c r="I23" s="77"/>
      <c r="J23" s="75">
        <f t="shared" si="2"/>
        <v>0</v>
      </c>
      <c r="K23" s="75">
        <f t="shared" si="26"/>
        <v>0</v>
      </c>
      <c r="L23" s="78"/>
      <c r="M23" s="76">
        <f t="shared" si="4"/>
        <v>0</v>
      </c>
      <c r="N23" s="76">
        <f t="shared" si="5"/>
        <v>0</v>
      </c>
      <c r="O23" s="77"/>
      <c r="P23" s="75">
        <f t="shared" si="6"/>
        <v>0</v>
      </c>
      <c r="Q23" s="75">
        <f t="shared" si="7"/>
        <v>0</v>
      </c>
      <c r="R23" s="78"/>
      <c r="S23" s="76">
        <f t="shared" si="8"/>
        <v>0</v>
      </c>
      <c r="T23" s="76">
        <f t="shared" si="9"/>
        <v>0</v>
      </c>
      <c r="U23" s="77"/>
      <c r="V23" s="82">
        <f t="shared" si="10"/>
        <v>0</v>
      </c>
      <c r="W23" s="82">
        <f t="shared" si="11"/>
        <v>0</v>
      </c>
      <c r="X23" s="78"/>
      <c r="Y23" s="76">
        <f t="shared" si="12"/>
        <v>0</v>
      </c>
      <c r="Z23" s="76">
        <f t="shared" si="13"/>
        <v>0</v>
      </c>
      <c r="AA23" s="77"/>
      <c r="AB23" s="75">
        <f t="shared" si="14"/>
        <v>0</v>
      </c>
      <c r="AC23" s="75">
        <f t="shared" si="15"/>
        <v>0</v>
      </c>
      <c r="AD23" s="78"/>
      <c r="AE23" s="76">
        <f t="shared" si="16"/>
        <v>0</v>
      </c>
      <c r="AF23" s="76">
        <f t="shared" si="27"/>
        <v>0</v>
      </c>
      <c r="AG23" s="77"/>
      <c r="AH23" s="75">
        <f t="shared" si="28"/>
        <v>0</v>
      </c>
      <c r="AI23" s="75">
        <f t="shared" si="29"/>
        <v>0</v>
      </c>
      <c r="AJ23" s="78"/>
      <c r="AK23" s="76">
        <f t="shared" si="30"/>
        <v>0</v>
      </c>
      <c r="AL23" s="76">
        <f t="shared" si="31"/>
        <v>0</v>
      </c>
      <c r="AM23" s="77"/>
      <c r="AN23" s="75">
        <f t="shared" si="32"/>
        <v>0</v>
      </c>
      <c r="AO23" s="75">
        <f t="shared" si="33"/>
        <v>0</v>
      </c>
      <c r="AP23" s="84"/>
    </row>
    <row r="24" spans="1:42" s="38" customFormat="1" x14ac:dyDescent="0.2">
      <c r="A24" s="33">
        <f>Inputs!C24</f>
        <v>0</v>
      </c>
      <c r="B24" s="151">
        <f>Inputs!B24</f>
        <v>0</v>
      </c>
      <c r="C24" s="34">
        <f>Inputs!J24</f>
        <v>0</v>
      </c>
      <c r="D24" s="35">
        <f>Inputs!D24</f>
        <v>0</v>
      </c>
      <c r="E24" s="35">
        <f>Inputs!F24</f>
        <v>0</v>
      </c>
      <c r="F24" s="37"/>
      <c r="G24" s="74">
        <f t="shared" si="24"/>
        <v>0</v>
      </c>
      <c r="H24" s="74">
        <f t="shared" si="25"/>
        <v>0</v>
      </c>
      <c r="I24" s="77"/>
      <c r="J24" s="75">
        <f t="shared" si="2"/>
        <v>0</v>
      </c>
      <c r="K24" s="75">
        <f t="shared" si="26"/>
        <v>0</v>
      </c>
      <c r="L24" s="78"/>
      <c r="M24" s="76">
        <f t="shared" si="4"/>
        <v>0</v>
      </c>
      <c r="N24" s="76">
        <f t="shared" si="5"/>
        <v>0</v>
      </c>
      <c r="O24" s="77"/>
      <c r="P24" s="75">
        <f t="shared" si="6"/>
        <v>0</v>
      </c>
      <c r="Q24" s="75">
        <f t="shared" si="7"/>
        <v>0</v>
      </c>
      <c r="R24" s="78"/>
      <c r="S24" s="76">
        <f t="shared" si="8"/>
        <v>0</v>
      </c>
      <c r="T24" s="76">
        <f t="shared" si="9"/>
        <v>0</v>
      </c>
      <c r="U24" s="77"/>
      <c r="V24" s="82">
        <f t="shared" si="10"/>
        <v>0</v>
      </c>
      <c r="W24" s="82">
        <f t="shared" si="11"/>
        <v>0</v>
      </c>
      <c r="X24" s="78"/>
      <c r="Y24" s="76">
        <f t="shared" si="12"/>
        <v>0</v>
      </c>
      <c r="Z24" s="76">
        <f t="shared" si="13"/>
        <v>0</v>
      </c>
      <c r="AA24" s="77"/>
      <c r="AB24" s="75">
        <f t="shared" si="14"/>
        <v>0</v>
      </c>
      <c r="AC24" s="75">
        <f t="shared" si="15"/>
        <v>0</v>
      </c>
      <c r="AD24" s="78"/>
      <c r="AE24" s="76">
        <f t="shared" si="16"/>
        <v>0</v>
      </c>
      <c r="AF24" s="76">
        <f t="shared" si="27"/>
        <v>0</v>
      </c>
      <c r="AG24" s="77"/>
      <c r="AH24" s="75">
        <f t="shared" si="28"/>
        <v>0</v>
      </c>
      <c r="AI24" s="75">
        <f t="shared" si="29"/>
        <v>0</v>
      </c>
      <c r="AJ24" s="78"/>
      <c r="AK24" s="76">
        <f t="shared" si="30"/>
        <v>0</v>
      </c>
      <c r="AL24" s="76">
        <f t="shared" si="31"/>
        <v>0</v>
      </c>
      <c r="AM24" s="77"/>
      <c r="AN24" s="75">
        <f t="shared" si="32"/>
        <v>0</v>
      </c>
      <c r="AO24" s="75">
        <f t="shared" si="33"/>
        <v>0</v>
      </c>
      <c r="AP24" s="84"/>
    </row>
    <row r="25" spans="1:42" x14ac:dyDescent="0.2">
      <c r="A25" s="33">
        <f>Inputs!C25</f>
        <v>0</v>
      </c>
      <c r="B25" s="151">
        <f>Inputs!B25</f>
        <v>0</v>
      </c>
      <c r="C25" s="34">
        <f>Inputs!J25</f>
        <v>0</v>
      </c>
      <c r="D25" s="35">
        <f>Inputs!D25</f>
        <v>0</v>
      </c>
      <c r="E25" s="35">
        <f>Inputs!F25</f>
        <v>0</v>
      </c>
      <c r="F25" s="37"/>
      <c r="G25" s="74">
        <f>IF(AND(D25&gt;=DATE(+$C$5,1,1), (D25&lt;=DATE(+$C$5,1,31))), +$C25,)</f>
        <v>0</v>
      </c>
      <c r="H25" s="74">
        <f>IF(AND(E25&gt;=DATE(+$C$5,1,1), (E25&lt;=DATE(+$C$5,1,31))), +$C25,)</f>
        <v>0</v>
      </c>
      <c r="I25" s="77"/>
      <c r="J25" s="75">
        <f>IF(AND(D25&gt;=DATE(+$C$5,2,1), (D25&lt;=DATE(+$C$5,2,28))), +$C25,)</f>
        <v>0</v>
      </c>
      <c r="K25" s="75">
        <f>IF(AND(E25&gt;=DATE(+$C$5,2,1), (E25&lt;=DATE(+$C$5,2,29))), +$C25,)</f>
        <v>0</v>
      </c>
      <c r="L25" s="78"/>
      <c r="M25" s="76">
        <f>IF(AND(D25&gt;=DATE(+$C$5,3,1), (D25&lt;=DATE(+$C$5,3,31))), +$C25,)</f>
        <v>0</v>
      </c>
      <c r="N25" s="76">
        <f>IF(AND(E25&gt;=DATE(+$C$5,3,1), (E25&lt;=DATE(+$C$5,3,31))), +$C25,)</f>
        <v>0</v>
      </c>
      <c r="O25" s="77"/>
      <c r="P25" s="75">
        <f>IF(AND(D25&gt;=DATE(+$C$5,4,1), (D25&lt;=DATE(+$C$5,4,30))), +$C25,)</f>
        <v>0</v>
      </c>
      <c r="Q25" s="75">
        <f>IF(AND(E25&gt;=DATE(+$C$5,4,1), (E25&lt;=DATE(+$C$5,4,30))), +$C25,)</f>
        <v>0</v>
      </c>
      <c r="R25" s="78"/>
      <c r="S25" s="76">
        <f>IF(AND(D25&gt;=DATE(+$C$5,5,1), (D25&lt;=DATE(+$C$5,5,31))), +$C25,)</f>
        <v>0</v>
      </c>
      <c r="T25" s="76">
        <f>IF(AND(E25&gt;=DATE(+$C$5,5,1), (E25&lt;=DATE(+$C$5,5,31))), +$C25,)</f>
        <v>0</v>
      </c>
      <c r="U25" s="77"/>
      <c r="V25" s="82">
        <f>IF(AND(D25&gt;=DATE(+$C$5,6,1), (D25&lt;=DATE(+$C$5,6,30))), +$C25,)</f>
        <v>0</v>
      </c>
      <c r="W25" s="82">
        <f>IF(AND(E25&gt;=DATE(+$C$5,6,1), (E25&lt;=DATE(+$C$5,6,30))), +$C25,)</f>
        <v>0</v>
      </c>
      <c r="X25" s="78"/>
      <c r="Y25" s="76">
        <f>IF(AND(D25&gt;=DATE(+$C$5,7,1), (D25&lt;=DATE(+$C$5,7,31))), +$C25,)</f>
        <v>0</v>
      </c>
      <c r="Z25" s="76">
        <f>IF(AND(E25&gt;=DATE(+$C$5,7,1), (E25&lt;=DATE(+$C$5,7,31))), +$C25,)</f>
        <v>0</v>
      </c>
      <c r="AA25" s="77"/>
      <c r="AB25" s="75">
        <f>IF(AND(D25&gt;=DATE(+$C$5,8,1), (D25&lt;=DATE(+$C$5,8,31))), +$C25,)</f>
        <v>0</v>
      </c>
      <c r="AC25" s="75">
        <f>IF(AND(E25&gt;=DATE(+$C$5,8,1), (E25&lt;=DATE(+$C$5,8,31))), +$C25,)</f>
        <v>0</v>
      </c>
      <c r="AD25" s="78"/>
      <c r="AE25" s="76">
        <f>IF(AND(D25&gt;=DATE(+$C$5,9,1), (D25&lt;=DATE(+$C$5,9,30))), +$C25,)</f>
        <v>0</v>
      </c>
      <c r="AF25" s="76">
        <f>IF(AND(E25&gt;=DATE(+$C$5,9,1), (E25&lt;=DATE(+$C$5,9,30))), +$C25,)</f>
        <v>0</v>
      </c>
      <c r="AG25" s="77"/>
      <c r="AH25" s="75">
        <f>IF(AND(D25&gt;=DATE(+$C$5,10,1), (D25&lt;=DATE(+$C$5,10,31))), +$C25,)</f>
        <v>0</v>
      </c>
      <c r="AI25" s="75">
        <f>IF(AND(E25&gt;=DATE(+$C$5,10,1), (E25&lt;=DATE(+$C$5,10,31))), +$C25,)</f>
        <v>0</v>
      </c>
      <c r="AJ25" s="78"/>
      <c r="AK25" s="76">
        <f>IF(AND(D25&gt;=DATE(+$C$5,11,1), (D25&lt;=DATE(+$C$5,11,30))), +$C25,)</f>
        <v>0</v>
      </c>
      <c r="AL25" s="76">
        <f>IF(AND(E25&gt;=DATE(+$C$5,11,1), (E25&lt;=DATE(+$C$5,11,30))), +$C25,)</f>
        <v>0</v>
      </c>
      <c r="AM25" s="77"/>
      <c r="AN25" s="75">
        <f>IF(AND(D25&gt;=DATE(+$C$5,12,1), (D25&lt;=DATE(+$C$5,12,31))), +$C25,)</f>
        <v>0</v>
      </c>
      <c r="AO25" s="75">
        <f>IF(AND(E25&gt;=DATE(+$C$5,12,1), (E25&lt;=DATE(+$C$5,12,31))), +$C25,)</f>
        <v>0</v>
      </c>
      <c r="AP25" s="84"/>
    </row>
    <row r="26" spans="1:42" s="38" customFormat="1" x14ac:dyDescent="0.2">
      <c r="A26" s="33">
        <f>Inputs!C26</f>
        <v>0</v>
      </c>
      <c r="B26" s="151">
        <f>Inputs!B26</f>
        <v>0</v>
      </c>
      <c r="C26" s="34">
        <f>Inputs!J26</f>
        <v>0</v>
      </c>
      <c r="D26" s="35">
        <f>Inputs!D26</f>
        <v>0</v>
      </c>
      <c r="E26" s="35">
        <f>Inputs!F26</f>
        <v>0</v>
      </c>
      <c r="F26" s="37"/>
      <c r="G26" s="74">
        <f t="shared" si="24"/>
        <v>0</v>
      </c>
      <c r="H26" s="74">
        <f t="shared" si="25"/>
        <v>0</v>
      </c>
      <c r="I26" s="77"/>
      <c r="J26" s="75">
        <f t="shared" si="2"/>
        <v>0</v>
      </c>
      <c r="K26" s="75">
        <f t="shared" si="26"/>
        <v>0</v>
      </c>
      <c r="L26" s="78"/>
      <c r="M26" s="76">
        <f t="shared" si="4"/>
        <v>0</v>
      </c>
      <c r="N26" s="76">
        <f t="shared" si="5"/>
        <v>0</v>
      </c>
      <c r="O26" s="77"/>
      <c r="P26" s="75">
        <f t="shared" si="6"/>
        <v>0</v>
      </c>
      <c r="Q26" s="75">
        <f t="shared" si="7"/>
        <v>0</v>
      </c>
      <c r="R26" s="78"/>
      <c r="S26" s="76">
        <f t="shared" si="8"/>
        <v>0</v>
      </c>
      <c r="T26" s="76">
        <f t="shared" si="9"/>
        <v>0</v>
      </c>
      <c r="U26" s="77"/>
      <c r="V26" s="82">
        <f t="shared" si="10"/>
        <v>0</v>
      </c>
      <c r="W26" s="82">
        <f t="shared" si="11"/>
        <v>0</v>
      </c>
      <c r="X26" s="78"/>
      <c r="Y26" s="76">
        <f t="shared" si="12"/>
        <v>0</v>
      </c>
      <c r="Z26" s="76">
        <f t="shared" si="13"/>
        <v>0</v>
      </c>
      <c r="AA26" s="77"/>
      <c r="AB26" s="75">
        <f t="shared" si="14"/>
        <v>0</v>
      </c>
      <c r="AC26" s="75">
        <f t="shared" si="15"/>
        <v>0</v>
      </c>
      <c r="AD26" s="78"/>
      <c r="AE26" s="76">
        <f t="shared" si="16"/>
        <v>0</v>
      </c>
      <c r="AF26" s="76">
        <f t="shared" si="27"/>
        <v>0</v>
      </c>
      <c r="AG26" s="77"/>
      <c r="AH26" s="75">
        <f t="shared" si="28"/>
        <v>0</v>
      </c>
      <c r="AI26" s="75">
        <f t="shared" si="29"/>
        <v>0</v>
      </c>
      <c r="AJ26" s="78"/>
      <c r="AK26" s="76">
        <f t="shared" si="30"/>
        <v>0</v>
      </c>
      <c r="AL26" s="76">
        <f t="shared" si="31"/>
        <v>0</v>
      </c>
      <c r="AM26" s="77"/>
      <c r="AN26" s="75">
        <f t="shared" si="32"/>
        <v>0</v>
      </c>
      <c r="AO26" s="75">
        <f t="shared" si="33"/>
        <v>0</v>
      </c>
      <c r="AP26" s="84"/>
    </row>
    <row r="27" spans="1:42" s="38" customFormat="1" x14ac:dyDescent="0.2">
      <c r="A27" s="33">
        <f>Inputs!C27</f>
        <v>0</v>
      </c>
      <c r="B27" s="151">
        <f>Inputs!B27</f>
        <v>0</v>
      </c>
      <c r="C27" s="34">
        <f>Inputs!J27</f>
        <v>0</v>
      </c>
      <c r="D27" s="35">
        <f>Inputs!D27</f>
        <v>0</v>
      </c>
      <c r="E27" s="35">
        <f>Inputs!F27</f>
        <v>0</v>
      </c>
      <c r="F27" s="37"/>
      <c r="G27" s="74">
        <f t="shared" si="24"/>
        <v>0</v>
      </c>
      <c r="H27" s="74">
        <f t="shared" si="25"/>
        <v>0</v>
      </c>
      <c r="I27" s="77"/>
      <c r="J27" s="75">
        <f t="shared" si="2"/>
        <v>0</v>
      </c>
      <c r="K27" s="75">
        <f t="shared" si="26"/>
        <v>0</v>
      </c>
      <c r="L27" s="78"/>
      <c r="M27" s="76">
        <f t="shared" si="4"/>
        <v>0</v>
      </c>
      <c r="N27" s="76">
        <f t="shared" si="5"/>
        <v>0</v>
      </c>
      <c r="O27" s="77"/>
      <c r="P27" s="75">
        <f t="shared" si="6"/>
        <v>0</v>
      </c>
      <c r="Q27" s="75">
        <f t="shared" si="7"/>
        <v>0</v>
      </c>
      <c r="R27" s="78"/>
      <c r="S27" s="76">
        <f t="shared" si="8"/>
        <v>0</v>
      </c>
      <c r="T27" s="76">
        <f t="shared" si="9"/>
        <v>0</v>
      </c>
      <c r="U27" s="77"/>
      <c r="V27" s="82">
        <f t="shared" si="10"/>
        <v>0</v>
      </c>
      <c r="W27" s="82">
        <f t="shared" si="11"/>
        <v>0</v>
      </c>
      <c r="X27" s="78"/>
      <c r="Y27" s="76">
        <f t="shared" si="12"/>
        <v>0</v>
      </c>
      <c r="Z27" s="76">
        <f t="shared" si="13"/>
        <v>0</v>
      </c>
      <c r="AA27" s="77"/>
      <c r="AB27" s="75">
        <f t="shared" si="14"/>
        <v>0</v>
      </c>
      <c r="AC27" s="75">
        <f t="shared" si="15"/>
        <v>0</v>
      </c>
      <c r="AD27" s="78"/>
      <c r="AE27" s="76">
        <f t="shared" si="16"/>
        <v>0</v>
      </c>
      <c r="AF27" s="76">
        <f t="shared" si="27"/>
        <v>0</v>
      </c>
      <c r="AG27" s="77"/>
      <c r="AH27" s="75">
        <f t="shared" si="28"/>
        <v>0</v>
      </c>
      <c r="AI27" s="75">
        <f t="shared" si="29"/>
        <v>0</v>
      </c>
      <c r="AJ27" s="78"/>
      <c r="AK27" s="76">
        <f t="shared" si="30"/>
        <v>0</v>
      </c>
      <c r="AL27" s="76">
        <f t="shared" si="31"/>
        <v>0</v>
      </c>
      <c r="AM27" s="77"/>
      <c r="AN27" s="75">
        <f t="shared" si="32"/>
        <v>0</v>
      </c>
      <c r="AO27" s="75">
        <f t="shared" si="33"/>
        <v>0</v>
      </c>
      <c r="AP27" s="84"/>
    </row>
    <row r="28" spans="1:42" s="38" customFormat="1" x14ac:dyDescent="0.2">
      <c r="A28" s="33">
        <f>Inputs!C28</f>
        <v>0</v>
      </c>
      <c r="B28" s="151">
        <f>Inputs!B28</f>
        <v>0</v>
      </c>
      <c r="C28" s="34">
        <f>Inputs!J28</f>
        <v>0</v>
      </c>
      <c r="D28" s="35">
        <f>Inputs!D28</f>
        <v>0</v>
      </c>
      <c r="E28" s="35">
        <f>Inputs!F28</f>
        <v>0</v>
      </c>
      <c r="F28" s="37"/>
      <c r="G28" s="74">
        <f t="shared" si="24"/>
        <v>0</v>
      </c>
      <c r="H28" s="74">
        <f t="shared" si="25"/>
        <v>0</v>
      </c>
      <c r="I28" s="77"/>
      <c r="J28" s="75">
        <f t="shared" si="2"/>
        <v>0</v>
      </c>
      <c r="K28" s="75">
        <f t="shared" si="26"/>
        <v>0</v>
      </c>
      <c r="L28" s="78"/>
      <c r="M28" s="76">
        <f t="shared" si="4"/>
        <v>0</v>
      </c>
      <c r="N28" s="76">
        <f t="shared" si="5"/>
        <v>0</v>
      </c>
      <c r="O28" s="77"/>
      <c r="P28" s="75">
        <f t="shared" si="6"/>
        <v>0</v>
      </c>
      <c r="Q28" s="75">
        <f t="shared" si="7"/>
        <v>0</v>
      </c>
      <c r="R28" s="78"/>
      <c r="S28" s="76">
        <f t="shared" si="8"/>
        <v>0</v>
      </c>
      <c r="T28" s="76">
        <f t="shared" si="9"/>
        <v>0</v>
      </c>
      <c r="U28" s="77"/>
      <c r="V28" s="82">
        <f t="shared" si="10"/>
        <v>0</v>
      </c>
      <c r="W28" s="82">
        <f t="shared" si="11"/>
        <v>0</v>
      </c>
      <c r="X28" s="78"/>
      <c r="Y28" s="76">
        <f t="shared" si="12"/>
        <v>0</v>
      </c>
      <c r="Z28" s="76">
        <f t="shared" si="13"/>
        <v>0</v>
      </c>
      <c r="AA28" s="77"/>
      <c r="AB28" s="75">
        <f t="shared" si="14"/>
        <v>0</v>
      </c>
      <c r="AC28" s="75">
        <f t="shared" si="15"/>
        <v>0</v>
      </c>
      <c r="AD28" s="78"/>
      <c r="AE28" s="76">
        <f t="shared" si="16"/>
        <v>0</v>
      </c>
      <c r="AF28" s="76">
        <f t="shared" si="27"/>
        <v>0</v>
      </c>
      <c r="AG28" s="77"/>
      <c r="AH28" s="75">
        <f t="shared" si="28"/>
        <v>0</v>
      </c>
      <c r="AI28" s="75">
        <f t="shared" si="29"/>
        <v>0</v>
      </c>
      <c r="AJ28" s="78"/>
      <c r="AK28" s="76">
        <f t="shared" si="30"/>
        <v>0</v>
      </c>
      <c r="AL28" s="76">
        <f t="shared" si="31"/>
        <v>0</v>
      </c>
      <c r="AM28" s="77"/>
      <c r="AN28" s="75">
        <f t="shared" si="32"/>
        <v>0</v>
      </c>
      <c r="AO28" s="75">
        <f t="shared" si="33"/>
        <v>0</v>
      </c>
      <c r="AP28" s="84"/>
    </row>
    <row r="29" spans="1:42" s="38" customFormat="1" x14ac:dyDescent="0.2">
      <c r="A29" s="33">
        <f>Inputs!C29</f>
        <v>0</v>
      </c>
      <c r="B29" s="151">
        <f>Inputs!B29</f>
        <v>0</v>
      </c>
      <c r="C29" s="34">
        <f>Inputs!J29</f>
        <v>0</v>
      </c>
      <c r="D29" s="35">
        <f>Inputs!D29</f>
        <v>0</v>
      </c>
      <c r="E29" s="35">
        <f>Inputs!F29</f>
        <v>0</v>
      </c>
      <c r="F29" s="37"/>
      <c r="G29" s="74">
        <f t="shared" si="24"/>
        <v>0</v>
      </c>
      <c r="H29" s="74">
        <f t="shared" si="25"/>
        <v>0</v>
      </c>
      <c r="I29" s="77"/>
      <c r="J29" s="75">
        <f t="shared" si="2"/>
        <v>0</v>
      </c>
      <c r="K29" s="75">
        <f t="shared" si="26"/>
        <v>0</v>
      </c>
      <c r="L29" s="78"/>
      <c r="M29" s="76">
        <f t="shared" si="4"/>
        <v>0</v>
      </c>
      <c r="N29" s="76">
        <f t="shared" si="5"/>
        <v>0</v>
      </c>
      <c r="O29" s="77"/>
      <c r="P29" s="75">
        <f t="shared" si="6"/>
        <v>0</v>
      </c>
      <c r="Q29" s="75">
        <f t="shared" si="7"/>
        <v>0</v>
      </c>
      <c r="R29" s="78"/>
      <c r="S29" s="76">
        <f t="shared" si="8"/>
        <v>0</v>
      </c>
      <c r="T29" s="76">
        <f t="shared" si="9"/>
        <v>0</v>
      </c>
      <c r="U29" s="77"/>
      <c r="V29" s="82">
        <f t="shared" si="10"/>
        <v>0</v>
      </c>
      <c r="W29" s="82">
        <f t="shared" si="11"/>
        <v>0</v>
      </c>
      <c r="X29" s="78"/>
      <c r="Y29" s="76">
        <f t="shared" si="12"/>
        <v>0</v>
      </c>
      <c r="Z29" s="76">
        <f t="shared" si="13"/>
        <v>0</v>
      </c>
      <c r="AA29" s="77"/>
      <c r="AB29" s="75">
        <f t="shared" si="14"/>
        <v>0</v>
      </c>
      <c r="AC29" s="75">
        <f t="shared" si="15"/>
        <v>0</v>
      </c>
      <c r="AD29" s="78"/>
      <c r="AE29" s="76">
        <f t="shared" si="16"/>
        <v>0</v>
      </c>
      <c r="AF29" s="76">
        <f t="shared" si="27"/>
        <v>0</v>
      </c>
      <c r="AG29" s="77"/>
      <c r="AH29" s="75">
        <f t="shared" si="28"/>
        <v>0</v>
      </c>
      <c r="AI29" s="75">
        <f>IF(AND(E29&gt;=DATE(+$C$5,10,1), (E29&lt;=DATE(+$C$5,10,31))), +$C29,)</f>
        <v>0</v>
      </c>
      <c r="AJ29" s="78"/>
      <c r="AK29" s="76">
        <f t="shared" si="30"/>
        <v>0</v>
      </c>
      <c r="AL29" s="76">
        <f t="shared" si="31"/>
        <v>0</v>
      </c>
      <c r="AM29" s="77"/>
      <c r="AN29" s="75">
        <f t="shared" si="32"/>
        <v>0</v>
      </c>
      <c r="AO29" s="75">
        <f t="shared" si="33"/>
        <v>0</v>
      </c>
      <c r="AP29" s="84"/>
    </row>
    <row r="30" spans="1:42" s="38" customFormat="1" x14ac:dyDescent="0.2">
      <c r="A30" s="33">
        <f>Inputs!C30</f>
        <v>0</v>
      </c>
      <c r="B30" s="151">
        <f>Inputs!B30</f>
        <v>0</v>
      </c>
      <c r="C30" s="34">
        <f>Inputs!J30</f>
        <v>0</v>
      </c>
      <c r="D30" s="35">
        <f>Inputs!D30</f>
        <v>0</v>
      </c>
      <c r="E30" s="35">
        <f>Inputs!F30</f>
        <v>0</v>
      </c>
      <c r="F30" s="37"/>
      <c r="G30" s="74">
        <f t="shared" si="24"/>
        <v>0</v>
      </c>
      <c r="H30" s="74">
        <f t="shared" si="25"/>
        <v>0</v>
      </c>
      <c r="I30" s="77"/>
      <c r="J30" s="75">
        <f t="shared" si="2"/>
        <v>0</v>
      </c>
      <c r="K30" s="75">
        <f t="shared" si="26"/>
        <v>0</v>
      </c>
      <c r="L30" s="78"/>
      <c r="M30" s="76">
        <f t="shared" si="4"/>
        <v>0</v>
      </c>
      <c r="N30" s="76">
        <f t="shared" si="5"/>
        <v>0</v>
      </c>
      <c r="O30" s="77"/>
      <c r="P30" s="75">
        <f t="shared" si="6"/>
        <v>0</v>
      </c>
      <c r="Q30" s="75">
        <f t="shared" si="7"/>
        <v>0</v>
      </c>
      <c r="R30" s="78"/>
      <c r="S30" s="76">
        <f t="shared" si="8"/>
        <v>0</v>
      </c>
      <c r="T30" s="76">
        <f t="shared" si="9"/>
        <v>0</v>
      </c>
      <c r="U30" s="77"/>
      <c r="V30" s="82">
        <f t="shared" si="10"/>
        <v>0</v>
      </c>
      <c r="W30" s="82">
        <f t="shared" si="11"/>
        <v>0</v>
      </c>
      <c r="X30" s="78"/>
      <c r="Y30" s="76">
        <f t="shared" si="12"/>
        <v>0</v>
      </c>
      <c r="Z30" s="76">
        <f t="shared" si="13"/>
        <v>0</v>
      </c>
      <c r="AA30" s="77"/>
      <c r="AB30" s="75">
        <f t="shared" si="14"/>
        <v>0</v>
      </c>
      <c r="AC30" s="75">
        <f t="shared" si="15"/>
        <v>0</v>
      </c>
      <c r="AD30" s="78"/>
      <c r="AE30" s="76">
        <f t="shared" si="16"/>
        <v>0</v>
      </c>
      <c r="AF30" s="76">
        <f t="shared" si="27"/>
        <v>0</v>
      </c>
      <c r="AG30" s="77"/>
      <c r="AH30" s="75">
        <f t="shared" si="28"/>
        <v>0</v>
      </c>
      <c r="AI30" s="75">
        <f t="shared" si="29"/>
        <v>0</v>
      </c>
      <c r="AJ30" s="78"/>
      <c r="AK30" s="76">
        <f t="shared" si="30"/>
        <v>0</v>
      </c>
      <c r="AL30" s="76">
        <f t="shared" si="31"/>
        <v>0</v>
      </c>
      <c r="AM30" s="77"/>
      <c r="AN30" s="75">
        <f t="shared" si="32"/>
        <v>0</v>
      </c>
      <c r="AO30" s="75">
        <f t="shared" si="33"/>
        <v>0</v>
      </c>
      <c r="AP30" s="84"/>
    </row>
    <row r="31" spans="1:42" s="38" customFormat="1" x14ac:dyDescent="0.2">
      <c r="A31" s="33">
        <f>Inputs!C31</f>
        <v>0</v>
      </c>
      <c r="B31" s="151">
        <f>Inputs!B31</f>
        <v>0</v>
      </c>
      <c r="C31" s="34">
        <f>Inputs!J31</f>
        <v>0</v>
      </c>
      <c r="D31" s="35">
        <f>Inputs!D31</f>
        <v>0</v>
      </c>
      <c r="E31" s="35">
        <f>Inputs!F31</f>
        <v>0</v>
      </c>
      <c r="F31" s="37"/>
      <c r="G31" s="74">
        <f t="shared" si="24"/>
        <v>0</v>
      </c>
      <c r="H31" s="74">
        <f t="shared" si="25"/>
        <v>0</v>
      </c>
      <c r="I31" s="77"/>
      <c r="J31" s="75">
        <f t="shared" si="2"/>
        <v>0</v>
      </c>
      <c r="K31" s="75">
        <f t="shared" si="26"/>
        <v>0</v>
      </c>
      <c r="L31" s="78"/>
      <c r="M31" s="76">
        <f t="shared" si="4"/>
        <v>0</v>
      </c>
      <c r="N31" s="76">
        <f t="shared" si="5"/>
        <v>0</v>
      </c>
      <c r="O31" s="77"/>
      <c r="P31" s="75">
        <f t="shared" si="6"/>
        <v>0</v>
      </c>
      <c r="Q31" s="75">
        <f t="shared" si="7"/>
        <v>0</v>
      </c>
      <c r="R31" s="78"/>
      <c r="S31" s="76">
        <f t="shared" si="8"/>
        <v>0</v>
      </c>
      <c r="T31" s="76">
        <f t="shared" si="9"/>
        <v>0</v>
      </c>
      <c r="U31" s="77"/>
      <c r="V31" s="82">
        <f t="shared" si="10"/>
        <v>0</v>
      </c>
      <c r="W31" s="82">
        <f t="shared" si="11"/>
        <v>0</v>
      </c>
      <c r="X31" s="78"/>
      <c r="Y31" s="76">
        <f t="shared" si="12"/>
        <v>0</v>
      </c>
      <c r="Z31" s="76">
        <f t="shared" si="13"/>
        <v>0</v>
      </c>
      <c r="AA31" s="77"/>
      <c r="AB31" s="75">
        <f t="shared" si="14"/>
        <v>0</v>
      </c>
      <c r="AC31" s="75">
        <f t="shared" si="15"/>
        <v>0</v>
      </c>
      <c r="AD31" s="78"/>
      <c r="AE31" s="76">
        <f t="shared" si="16"/>
        <v>0</v>
      </c>
      <c r="AF31" s="76">
        <f t="shared" si="27"/>
        <v>0</v>
      </c>
      <c r="AG31" s="77"/>
      <c r="AH31" s="75">
        <f t="shared" si="28"/>
        <v>0</v>
      </c>
      <c r="AI31" s="75">
        <f t="shared" si="29"/>
        <v>0</v>
      </c>
      <c r="AJ31" s="78"/>
      <c r="AK31" s="76">
        <f t="shared" si="30"/>
        <v>0</v>
      </c>
      <c r="AL31" s="76">
        <f t="shared" si="31"/>
        <v>0</v>
      </c>
      <c r="AM31" s="77"/>
      <c r="AN31" s="75">
        <f t="shared" si="32"/>
        <v>0</v>
      </c>
      <c r="AO31" s="75">
        <f t="shared" si="33"/>
        <v>0</v>
      </c>
      <c r="AP31" s="84"/>
    </row>
    <row r="32" spans="1:42" s="38" customFormat="1" x14ac:dyDescent="0.2">
      <c r="A32" s="33">
        <f>Inputs!C32</f>
        <v>0</v>
      </c>
      <c r="B32" s="151">
        <f>Inputs!B32</f>
        <v>0</v>
      </c>
      <c r="C32" s="34">
        <f>Inputs!J32</f>
        <v>0</v>
      </c>
      <c r="D32" s="35">
        <f>Inputs!D32</f>
        <v>0</v>
      </c>
      <c r="E32" s="35">
        <f>Inputs!F32</f>
        <v>0</v>
      </c>
      <c r="F32" s="37"/>
      <c r="G32" s="74">
        <f t="shared" si="24"/>
        <v>0</v>
      </c>
      <c r="H32" s="74">
        <f t="shared" si="25"/>
        <v>0</v>
      </c>
      <c r="I32" s="77"/>
      <c r="J32" s="75">
        <f t="shared" si="2"/>
        <v>0</v>
      </c>
      <c r="K32" s="75">
        <f t="shared" si="26"/>
        <v>0</v>
      </c>
      <c r="L32" s="78"/>
      <c r="M32" s="76">
        <f t="shared" si="4"/>
        <v>0</v>
      </c>
      <c r="N32" s="76">
        <f t="shared" si="5"/>
        <v>0</v>
      </c>
      <c r="O32" s="77"/>
      <c r="P32" s="75">
        <f t="shared" si="6"/>
        <v>0</v>
      </c>
      <c r="Q32" s="75">
        <f t="shared" si="7"/>
        <v>0</v>
      </c>
      <c r="R32" s="78"/>
      <c r="S32" s="76">
        <f t="shared" si="8"/>
        <v>0</v>
      </c>
      <c r="T32" s="76">
        <f t="shared" si="9"/>
        <v>0</v>
      </c>
      <c r="U32" s="77"/>
      <c r="V32" s="82">
        <f t="shared" si="10"/>
        <v>0</v>
      </c>
      <c r="W32" s="82">
        <f t="shared" si="11"/>
        <v>0</v>
      </c>
      <c r="X32" s="78"/>
      <c r="Y32" s="76">
        <f t="shared" si="12"/>
        <v>0</v>
      </c>
      <c r="Z32" s="76">
        <f t="shared" si="13"/>
        <v>0</v>
      </c>
      <c r="AA32" s="77"/>
      <c r="AB32" s="75">
        <f t="shared" si="14"/>
        <v>0</v>
      </c>
      <c r="AC32" s="75">
        <f t="shared" si="15"/>
        <v>0</v>
      </c>
      <c r="AD32" s="78"/>
      <c r="AE32" s="76">
        <f t="shared" si="16"/>
        <v>0</v>
      </c>
      <c r="AF32" s="76">
        <f t="shared" si="27"/>
        <v>0</v>
      </c>
      <c r="AG32" s="77"/>
      <c r="AH32" s="75">
        <f t="shared" si="28"/>
        <v>0</v>
      </c>
      <c r="AI32" s="75">
        <f t="shared" si="29"/>
        <v>0</v>
      </c>
      <c r="AJ32" s="78"/>
      <c r="AK32" s="76">
        <f t="shared" si="30"/>
        <v>0</v>
      </c>
      <c r="AL32" s="76">
        <f t="shared" si="31"/>
        <v>0</v>
      </c>
      <c r="AM32" s="77"/>
      <c r="AN32" s="75">
        <f t="shared" si="32"/>
        <v>0</v>
      </c>
      <c r="AO32" s="75">
        <f t="shared" si="33"/>
        <v>0</v>
      </c>
      <c r="AP32" s="84"/>
    </row>
    <row r="33" spans="1:42" s="38" customFormat="1" x14ac:dyDescent="0.2">
      <c r="A33" s="33">
        <f>Inputs!C33</f>
        <v>0</v>
      </c>
      <c r="B33" s="151">
        <f>Inputs!B33</f>
        <v>0</v>
      </c>
      <c r="C33" s="34">
        <f>Inputs!J33</f>
        <v>0</v>
      </c>
      <c r="D33" s="35">
        <f>Inputs!D33</f>
        <v>0</v>
      </c>
      <c r="E33" s="35">
        <f>Inputs!F33</f>
        <v>0</v>
      </c>
      <c r="F33" s="37"/>
      <c r="G33" s="74">
        <f t="shared" si="24"/>
        <v>0</v>
      </c>
      <c r="H33" s="74">
        <f t="shared" si="25"/>
        <v>0</v>
      </c>
      <c r="I33" s="77"/>
      <c r="J33" s="75">
        <f t="shared" si="2"/>
        <v>0</v>
      </c>
      <c r="K33" s="75">
        <f t="shared" si="26"/>
        <v>0</v>
      </c>
      <c r="L33" s="78"/>
      <c r="M33" s="76">
        <f t="shared" si="4"/>
        <v>0</v>
      </c>
      <c r="N33" s="76">
        <f t="shared" si="5"/>
        <v>0</v>
      </c>
      <c r="O33" s="77"/>
      <c r="P33" s="75">
        <f t="shared" si="6"/>
        <v>0</v>
      </c>
      <c r="Q33" s="75">
        <f t="shared" si="7"/>
        <v>0</v>
      </c>
      <c r="R33" s="78"/>
      <c r="S33" s="76">
        <f t="shared" si="8"/>
        <v>0</v>
      </c>
      <c r="T33" s="76">
        <f t="shared" si="9"/>
        <v>0</v>
      </c>
      <c r="U33" s="77"/>
      <c r="V33" s="82">
        <f t="shared" si="10"/>
        <v>0</v>
      </c>
      <c r="W33" s="82">
        <f t="shared" si="11"/>
        <v>0</v>
      </c>
      <c r="X33" s="78"/>
      <c r="Y33" s="76">
        <f t="shared" si="12"/>
        <v>0</v>
      </c>
      <c r="Z33" s="76">
        <f t="shared" si="13"/>
        <v>0</v>
      </c>
      <c r="AA33" s="77"/>
      <c r="AB33" s="75">
        <f t="shared" si="14"/>
        <v>0</v>
      </c>
      <c r="AC33" s="75">
        <f t="shared" si="15"/>
        <v>0</v>
      </c>
      <c r="AD33" s="78"/>
      <c r="AE33" s="76">
        <f t="shared" si="16"/>
        <v>0</v>
      </c>
      <c r="AF33" s="76">
        <f t="shared" si="27"/>
        <v>0</v>
      </c>
      <c r="AG33" s="77"/>
      <c r="AH33" s="75">
        <f t="shared" si="28"/>
        <v>0</v>
      </c>
      <c r="AI33" s="75">
        <f t="shared" si="29"/>
        <v>0</v>
      </c>
      <c r="AJ33" s="78"/>
      <c r="AK33" s="76">
        <f t="shared" si="30"/>
        <v>0</v>
      </c>
      <c r="AL33" s="76">
        <f t="shared" si="31"/>
        <v>0</v>
      </c>
      <c r="AM33" s="77"/>
      <c r="AN33" s="75">
        <f t="shared" si="32"/>
        <v>0</v>
      </c>
      <c r="AO33" s="75">
        <f t="shared" si="33"/>
        <v>0</v>
      </c>
      <c r="AP33" s="84"/>
    </row>
    <row r="34" spans="1:42" s="38" customFormat="1" x14ac:dyDescent="0.2">
      <c r="A34" s="33">
        <f>Inputs!C34</f>
        <v>0</v>
      </c>
      <c r="B34" s="151">
        <f>Inputs!B34</f>
        <v>0</v>
      </c>
      <c r="C34" s="34">
        <f>Inputs!J34</f>
        <v>0</v>
      </c>
      <c r="D34" s="35">
        <f>Inputs!D34</f>
        <v>0</v>
      </c>
      <c r="E34" s="35">
        <f>Inputs!F34</f>
        <v>0</v>
      </c>
      <c r="F34" s="37"/>
      <c r="G34" s="74">
        <f t="shared" si="24"/>
        <v>0</v>
      </c>
      <c r="H34" s="74">
        <f t="shared" si="25"/>
        <v>0</v>
      </c>
      <c r="I34" s="77"/>
      <c r="J34" s="75">
        <f t="shared" si="2"/>
        <v>0</v>
      </c>
      <c r="K34" s="75">
        <f t="shared" si="26"/>
        <v>0</v>
      </c>
      <c r="L34" s="78"/>
      <c r="M34" s="76">
        <f t="shared" ref="M34:M53" si="34">IF(AND(D34&gt;=DATE(+$C$5,3,1), (D34&lt;=DATE(+$C$5,3,31))), +$C34,)</f>
        <v>0</v>
      </c>
      <c r="N34" s="76">
        <f t="shared" si="5"/>
        <v>0</v>
      </c>
      <c r="O34" s="77"/>
      <c r="P34" s="75">
        <f t="shared" si="6"/>
        <v>0</v>
      </c>
      <c r="Q34" s="75">
        <f t="shared" si="7"/>
        <v>0</v>
      </c>
      <c r="R34" s="78"/>
      <c r="S34" s="76">
        <f t="shared" si="8"/>
        <v>0</v>
      </c>
      <c r="T34" s="76">
        <f t="shared" si="9"/>
        <v>0</v>
      </c>
      <c r="U34" s="77"/>
      <c r="V34" s="82">
        <f t="shared" si="10"/>
        <v>0</v>
      </c>
      <c r="W34" s="82">
        <f t="shared" si="11"/>
        <v>0</v>
      </c>
      <c r="X34" s="78"/>
      <c r="Y34" s="76">
        <f t="shared" si="12"/>
        <v>0</v>
      </c>
      <c r="Z34" s="76">
        <f t="shared" si="13"/>
        <v>0</v>
      </c>
      <c r="AA34" s="77"/>
      <c r="AB34" s="75">
        <f t="shared" si="14"/>
        <v>0</v>
      </c>
      <c r="AC34" s="75">
        <f t="shared" si="15"/>
        <v>0</v>
      </c>
      <c r="AD34" s="78"/>
      <c r="AE34" s="76">
        <f t="shared" si="16"/>
        <v>0</v>
      </c>
      <c r="AF34" s="76">
        <f t="shared" si="27"/>
        <v>0</v>
      </c>
      <c r="AG34" s="77"/>
      <c r="AH34" s="75">
        <f t="shared" si="28"/>
        <v>0</v>
      </c>
      <c r="AI34" s="75">
        <f t="shared" si="29"/>
        <v>0</v>
      </c>
      <c r="AJ34" s="78"/>
      <c r="AK34" s="76">
        <f t="shared" si="30"/>
        <v>0</v>
      </c>
      <c r="AL34" s="76">
        <f t="shared" si="31"/>
        <v>0</v>
      </c>
      <c r="AM34" s="77"/>
      <c r="AN34" s="75">
        <f t="shared" si="32"/>
        <v>0</v>
      </c>
      <c r="AO34" s="75">
        <f t="shared" si="33"/>
        <v>0</v>
      </c>
      <c r="AP34" s="84"/>
    </row>
    <row r="35" spans="1:42" s="38" customFormat="1" x14ac:dyDescent="0.2">
      <c r="A35" s="33">
        <f>Inputs!C35</f>
        <v>0</v>
      </c>
      <c r="B35" s="151">
        <f>Inputs!B35</f>
        <v>0</v>
      </c>
      <c r="C35" s="34">
        <f>Inputs!J35</f>
        <v>0</v>
      </c>
      <c r="D35" s="35">
        <f>Inputs!D35</f>
        <v>0</v>
      </c>
      <c r="E35" s="35">
        <f>Inputs!F35</f>
        <v>0</v>
      </c>
      <c r="F35" s="37"/>
      <c r="G35" s="74">
        <f t="shared" si="24"/>
        <v>0</v>
      </c>
      <c r="H35" s="74">
        <f t="shared" si="25"/>
        <v>0</v>
      </c>
      <c r="I35" s="77"/>
      <c r="J35" s="75">
        <f t="shared" si="2"/>
        <v>0</v>
      </c>
      <c r="K35" s="75">
        <f t="shared" si="26"/>
        <v>0</v>
      </c>
      <c r="L35" s="78"/>
      <c r="M35" s="76">
        <f t="shared" si="34"/>
        <v>0</v>
      </c>
      <c r="N35" s="76">
        <f t="shared" ref="N35:N53" si="35">IF(AND(E35&gt;=DATE(+$C$5,3,1), (E35&lt;=DATE(+$C$5,3,31))), +$C35,)</f>
        <v>0</v>
      </c>
      <c r="O35" s="77"/>
      <c r="P35" s="75">
        <f t="shared" si="6"/>
        <v>0</v>
      </c>
      <c r="Q35" s="75">
        <f t="shared" si="7"/>
        <v>0</v>
      </c>
      <c r="R35" s="78"/>
      <c r="S35" s="76">
        <f t="shared" si="8"/>
        <v>0</v>
      </c>
      <c r="T35" s="76">
        <f t="shared" si="9"/>
        <v>0</v>
      </c>
      <c r="U35" s="77"/>
      <c r="V35" s="82">
        <f t="shared" si="10"/>
        <v>0</v>
      </c>
      <c r="W35" s="82">
        <f t="shared" si="11"/>
        <v>0</v>
      </c>
      <c r="X35" s="78"/>
      <c r="Y35" s="76">
        <f t="shared" si="12"/>
        <v>0</v>
      </c>
      <c r="Z35" s="76">
        <f t="shared" si="13"/>
        <v>0</v>
      </c>
      <c r="AA35" s="77"/>
      <c r="AB35" s="75">
        <f t="shared" si="14"/>
        <v>0</v>
      </c>
      <c r="AC35" s="75">
        <f t="shared" si="15"/>
        <v>0</v>
      </c>
      <c r="AD35" s="78"/>
      <c r="AE35" s="76">
        <f t="shared" si="16"/>
        <v>0</v>
      </c>
      <c r="AF35" s="76">
        <f t="shared" si="27"/>
        <v>0</v>
      </c>
      <c r="AG35" s="77"/>
      <c r="AH35" s="75">
        <f t="shared" si="28"/>
        <v>0</v>
      </c>
      <c r="AI35" s="75">
        <f t="shared" si="29"/>
        <v>0</v>
      </c>
      <c r="AJ35" s="78"/>
      <c r="AK35" s="76">
        <f t="shared" si="30"/>
        <v>0</v>
      </c>
      <c r="AL35" s="76">
        <f t="shared" si="31"/>
        <v>0</v>
      </c>
      <c r="AM35" s="77"/>
      <c r="AN35" s="75">
        <f t="shared" si="32"/>
        <v>0</v>
      </c>
      <c r="AO35" s="75">
        <f t="shared" si="33"/>
        <v>0</v>
      </c>
      <c r="AP35" s="84"/>
    </row>
    <row r="36" spans="1:42" s="38" customFormat="1" x14ac:dyDescent="0.2">
      <c r="A36" s="33">
        <f>Inputs!C36</f>
        <v>0</v>
      </c>
      <c r="B36" s="151">
        <f>Inputs!B36</f>
        <v>0</v>
      </c>
      <c r="C36" s="34">
        <f>Inputs!J36</f>
        <v>0</v>
      </c>
      <c r="D36" s="35">
        <f>Inputs!D36</f>
        <v>0</v>
      </c>
      <c r="E36" s="35">
        <f>Inputs!F36</f>
        <v>0</v>
      </c>
      <c r="F36" s="37"/>
      <c r="G36" s="74">
        <f t="shared" si="24"/>
        <v>0</v>
      </c>
      <c r="H36" s="74">
        <f t="shared" si="25"/>
        <v>0</v>
      </c>
      <c r="I36" s="77"/>
      <c r="J36" s="75">
        <f t="shared" si="2"/>
        <v>0</v>
      </c>
      <c r="K36" s="75">
        <f t="shared" si="26"/>
        <v>0</v>
      </c>
      <c r="L36" s="78"/>
      <c r="M36" s="76">
        <f t="shared" si="34"/>
        <v>0</v>
      </c>
      <c r="N36" s="76">
        <f t="shared" si="35"/>
        <v>0</v>
      </c>
      <c r="O36" s="77"/>
      <c r="P36" s="75">
        <f t="shared" si="6"/>
        <v>0</v>
      </c>
      <c r="Q36" s="75">
        <f t="shared" si="7"/>
        <v>0</v>
      </c>
      <c r="R36" s="78"/>
      <c r="S36" s="76">
        <f t="shared" si="8"/>
        <v>0</v>
      </c>
      <c r="T36" s="76">
        <f t="shared" si="9"/>
        <v>0</v>
      </c>
      <c r="U36" s="77"/>
      <c r="V36" s="82">
        <f t="shared" si="10"/>
        <v>0</v>
      </c>
      <c r="W36" s="82">
        <f t="shared" si="11"/>
        <v>0</v>
      </c>
      <c r="X36" s="78"/>
      <c r="Y36" s="76">
        <f t="shared" si="12"/>
        <v>0</v>
      </c>
      <c r="Z36" s="76">
        <f t="shared" si="13"/>
        <v>0</v>
      </c>
      <c r="AA36" s="77"/>
      <c r="AB36" s="75">
        <f t="shared" si="14"/>
        <v>0</v>
      </c>
      <c r="AC36" s="75">
        <f t="shared" si="15"/>
        <v>0</v>
      </c>
      <c r="AD36" s="78"/>
      <c r="AE36" s="76">
        <f t="shared" si="16"/>
        <v>0</v>
      </c>
      <c r="AF36" s="76">
        <f t="shared" si="27"/>
        <v>0</v>
      </c>
      <c r="AG36" s="77"/>
      <c r="AH36" s="75">
        <f t="shared" si="28"/>
        <v>0</v>
      </c>
      <c r="AI36" s="75">
        <f t="shared" si="29"/>
        <v>0</v>
      </c>
      <c r="AJ36" s="78"/>
      <c r="AK36" s="76">
        <f t="shared" si="30"/>
        <v>0</v>
      </c>
      <c r="AL36" s="76">
        <f t="shared" si="31"/>
        <v>0</v>
      </c>
      <c r="AM36" s="77"/>
      <c r="AN36" s="75">
        <f t="shared" si="32"/>
        <v>0</v>
      </c>
      <c r="AO36" s="75">
        <f t="shared" si="33"/>
        <v>0</v>
      </c>
      <c r="AP36" s="84"/>
    </row>
    <row r="37" spans="1:42" s="38" customFormat="1" x14ac:dyDescent="0.2">
      <c r="A37" s="33">
        <f>Inputs!C37</f>
        <v>0</v>
      </c>
      <c r="B37" s="151">
        <f>Inputs!B37</f>
        <v>0</v>
      </c>
      <c r="C37" s="34">
        <f>Inputs!J37</f>
        <v>0</v>
      </c>
      <c r="D37" s="35">
        <f>Inputs!D37</f>
        <v>0</v>
      </c>
      <c r="E37" s="35">
        <f>Inputs!F37</f>
        <v>0</v>
      </c>
      <c r="F37" s="37"/>
      <c r="G37" s="74">
        <f t="shared" si="24"/>
        <v>0</v>
      </c>
      <c r="H37" s="74">
        <f t="shared" si="25"/>
        <v>0</v>
      </c>
      <c r="I37" s="77"/>
      <c r="J37" s="75">
        <f t="shared" si="2"/>
        <v>0</v>
      </c>
      <c r="K37" s="75">
        <f t="shared" si="26"/>
        <v>0</v>
      </c>
      <c r="L37" s="78"/>
      <c r="M37" s="76">
        <f t="shared" si="34"/>
        <v>0</v>
      </c>
      <c r="N37" s="76">
        <f t="shared" si="35"/>
        <v>0</v>
      </c>
      <c r="O37" s="77"/>
      <c r="P37" s="75">
        <f t="shared" si="6"/>
        <v>0</v>
      </c>
      <c r="Q37" s="75">
        <f t="shared" si="7"/>
        <v>0</v>
      </c>
      <c r="R37" s="78"/>
      <c r="S37" s="76">
        <f t="shared" si="8"/>
        <v>0</v>
      </c>
      <c r="T37" s="76">
        <f t="shared" si="9"/>
        <v>0</v>
      </c>
      <c r="U37" s="77"/>
      <c r="V37" s="82">
        <f t="shared" si="10"/>
        <v>0</v>
      </c>
      <c r="W37" s="82">
        <f t="shared" ref="W37:W53" si="36">IF(AND(E37&gt;=DATE(+$C$5,6,1), (E37&lt;=DATE(+$C$5,6,30))), +$C37,)</f>
        <v>0</v>
      </c>
      <c r="X37" s="78"/>
      <c r="Y37" s="76">
        <f t="shared" si="12"/>
        <v>0</v>
      </c>
      <c r="Z37" s="76">
        <f t="shared" si="13"/>
        <v>0</v>
      </c>
      <c r="AA37" s="77"/>
      <c r="AB37" s="75">
        <f t="shared" si="14"/>
        <v>0</v>
      </c>
      <c r="AC37" s="75">
        <f t="shared" si="15"/>
        <v>0</v>
      </c>
      <c r="AD37" s="78"/>
      <c r="AE37" s="76">
        <f t="shared" si="16"/>
        <v>0</v>
      </c>
      <c r="AF37" s="76">
        <f t="shared" si="27"/>
        <v>0</v>
      </c>
      <c r="AG37" s="77"/>
      <c r="AH37" s="75">
        <f t="shared" si="28"/>
        <v>0</v>
      </c>
      <c r="AI37" s="75">
        <f t="shared" si="29"/>
        <v>0</v>
      </c>
      <c r="AJ37" s="78"/>
      <c r="AK37" s="76">
        <f t="shared" si="30"/>
        <v>0</v>
      </c>
      <c r="AL37" s="76">
        <f t="shared" si="31"/>
        <v>0</v>
      </c>
      <c r="AM37" s="77"/>
      <c r="AN37" s="75">
        <f t="shared" si="32"/>
        <v>0</v>
      </c>
      <c r="AO37" s="75">
        <f t="shared" si="33"/>
        <v>0</v>
      </c>
      <c r="AP37" s="84"/>
    </row>
    <row r="38" spans="1:42" s="38" customFormat="1" x14ac:dyDescent="0.2">
      <c r="A38" s="33">
        <f>Inputs!C38</f>
        <v>0</v>
      </c>
      <c r="B38" s="151">
        <f>Inputs!B38</f>
        <v>0</v>
      </c>
      <c r="C38" s="34">
        <f>Inputs!J38</f>
        <v>0</v>
      </c>
      <c r="D38" s="35">
        <f>Inputs!D38</f>
        <v>0</v>
      </c>
      <c r="E38" s="35">
        <f>Inputs!F38</f>
        <v>0</v>
      </c>
      <c r="F38" s="37"/>
      <c r="G38" s="74">
        <f t="shared" si="24"/>
        <v>0</v>
      </c>
      <c r="H38" s="74">
        <f t="shared" si="25"/>
        <v>0</v>
      </c>
      <c r="I38" s="77"/>
      <c r="J38" s="75">
        <f t="shared" si="2"/>
        <v>0</v>
      </c>
      <c r="K38" s="75">
        <f t="shared" si="26"/>
        <v>0</v>
      </c>
      <c r="L38" s="78"/>
      <c r="M38" s="76">
        <f t="shared" si="34"/>
        <v>0</v>
      </c>
      <c r="N38" s="76">
        <f t="shared" si="35"/>
        <v>0</v>
      </c>
      <c r="O38" s="77"/>
      <c r="P38" s="75">
        <f t="shared" si="6"/>
        <v>0</v>
      </c>
      <c r="Q38" s="75">
        <f t="shared" si="7"/>
        <v>0</v>
      </c>
      <c r="R38" s="78"/>
      <c r="S38" s="76">
        <f t="shared" si="8"/>
        <v>0</v>
      </c>
      <c r="T38" s="76">
        <f t="shared" si="9"/>
        <v>0</v>
      </c>
      <c r="U38" s="77"/>
      <c r="V38" s="82">
        <f t="shared" si="10"/>
        <v>0</v>
      </c>
      <c r="W38" s="82">
        <f t="shared" si="36"/>
        <v>0</v>
      </c>
      <c r="X38" s="78"/>
      <c r="Y38" s="76">
        <f t="shared" si="12"/>
        <v>0</v>
      </c>
      <c r="Z38" s="76">
        <f t="shared" si="13"/>
        <v>0</v>
      </c>
      <c r="AA38" s="77"/>
      <c r="AB38" s="75">
        <f t="shared" si="14"/>
        <v>0</v>
      </c>
      <c r="AC38" s="75">
        <f t="shared" si="15"/>
        <v>0</v>
      </c>
      <c r="AD38" s="78"/>
      <c r="AE38" s="76">
        <f t="shared" si="16"/>
        <v>0</v>
      </c>
      <c r="AF38" s="76">
        <f t="shared" si="27"/>
        <v>0</v>
      </c>
      <c r="AG38" s="77"/>
      <c r="AH38" s="75">
        <f t="shared" si="28"/>
        <v>0</v>
      </c>
      <c r="AI38" s="75">
        <f t="shared" si="29"/>
        <v>0</v>
      </c>
      <c r="AJ38" s="78"/>
      <c r="AK38" s="76">
        <f t="shared" si="30"/>
        <v>0</v>
      </c>
      <c r="AL38" s="76">
        <f t="shared" si="31"/>
        <v>0</v>
      </c>
      <c r="AM38" s="77"/>
      <c r="AN38" s="75">
        <f t="shared" si="32"/>
        <v>0</v>
      </c>
      <c r="AO38" s="75">
        <f t="shared" si="33"/>
        <v>0</v>
      </c>
      <c r="AP38" s="84"/>
    </row>
    <row r="39" spans="1:42" s="38" customFormat="1" x14ac:dyDescent="0.2">
      <c r="A39" s="33">
        <f>Inputs!C39</f>
        <v>0</v>
      </c>
      <c r="B39" s="151">
        <f>Inputs!B39</f>
        <v>0</v>
      </c>
      <c r="C39" s="34">
        <f>Inputs!J39</f>
        <v>0</v>
      </c>
      <c r="D39" s="35">
        <f>Inputs!D39</f>
        <v>0</v>
      </c>
      <c r="E39" s="35">
        <f>Inputs!F39</f>
        <v>0</v>
      </c>
      <c r="F39" s="37"/>
      <c r="G39" s="74">
        <f t="shared" si="24"/>
        <v>0</v>
      </c>
      <c r="H39" s="74">
        <f t="shared" si="25"/>
        <v>0</v>
      </c>
      <c r="I39" s="77"/>
      <c r="J39" s="75">
        <f t="shared" si="2"/>
        <v>0</v>
      </c>
      <c r="K39" s="75">
        <f t="shared" si="26"/>
        <v>0</v>
      </c>
      <c r="L39" s="78"/>
      <c r="M39" s="76">
        <f t="shared" si="34"/>
        <v>0</v>
      </c>
      <c r="N39" s="76">
        <f t="shared" si="35"/>
        <v>0</v>
      </c>
      <c r="O39" s="77"/>
      <c r="P39" s="75">
        <f t="shared" ref="P39:P53" si="37">IF(AND(D39&gt;=DATE(+$C$5,4,1), (D39&lt;=DATE(+$C$5,4,30))), +$C39,)</f>
        <v>0</v>
      </c>
      <c r="Q39" s="75">
        <f t="shared" si="7"/>
        <v>0</v>
      </c>
      <c r="R39" s="78"/>
      <c r="S39" s="76">
        <f t="shared" si="8"/>
        <v>0</v>
      </c>
      <c r="T39" s="76">
        <f t="shared" si="9"/>
        <v>0</v>
      </c>
      <c r="U39" s="77"/>
      <c r="V39" s="82">
        <f t="shared" si="10"/>
        <v>0</v>
      </c>
      <c r="W39" s="82">
        <f t="shared" si="36"/>
        <v>0</v>
      </c>
      <c r="X39" s="78"/>
      <c r="Y39" s="76">
        <f t="shared" ref="Y39:Y53" si="38">IF(AND(D39&gt;=DATE(+$C$5,7,1), (D39&lt;=DATE(+$C$5,7,31))), +$C39,)</f>
        <v>0</v>
      </c>
      <c r="Z39" s="76">
        <f t="shared" si="13"/>
        <v>0</v>
      </c>
      <c r="AA39" s="77"/>
      <c r="AB39" s="75">
        <f t="shared" si="14"/>
        <v>0</v>
      </c>
      <c r="AC39" s="75">
        <f t="shared" si="15"/>
        <v>0</v>
      </c>
      <c r="AD39" s="78"/>
      <c r="AE39" s="76">
        <f t="shared" si="16"/>
        <v>0</v>
      </c>
      <c r="AF39" s="76">
        <f t="shared" si="27"/>
        <v>0</v>
      </c>
      <c r="AG39" s="77"/>
      <c r="AH39" s="75">
        <f t="shared" si="28"/>
        <v>0</v>
      </c>
      <c r="AI39" s="75">
        <f t="shared" si="29"/>
        <v>0</v>
      </c>
      <c r="AJ39" s="78"/>
      <c r="AK39" s="76">
        <f t="shared" si="30"/>
        <v>0</v>
      </c>
      <c r="AL39" s="76">
        <f t="shared" si="31"/>
        <v>0</v>
      </c>
      <c r="AM39" s="77"/>
      <c r="AN39" s="75">
        <f t="shared" si="32"/>
        <v>0</v>
      </c>
      <c r="AO39" s="75">
        <f t="shared" si="33"/>
        <v>0</v>
      </c>
      <c r="AP39" s="84"/>
    </row>
    <row r="40" spans="1:42" s="38" customFormat="1" x14ac:dyDescent="0.2">
      <c r="A40" s="33">
        <f>Inputs!C40</f>
        <v>0</v>
      </c>
      <c r="B40" s="151">
        <f>Inputs!B40</f>
        <v>0</v>
      </c>
      <c r="C40" s="34">
        <f>Inputs!J40</f>
        <v>0</v>
      </c>
      <c r="D40" s="35">
        <f>Inputs!D40</f>
        <v>0</v>
      </c>
      <c r="E40" s="35">
        <f>Inputs!F40</f>
        <v>0</v>
      </c>
      <c r="F40" s="37"/>
      <c r="G40" s="74">
        <f t="shared" si="24"/>
        <v>0</v>
      </c>
      <c r="H40" s="74">
        <f t="shared" si="25"/>
        <v>0</v>
      </c>
      <c r="I40" s="77"/>
      <c r="J40" s="75">
        <f t="shared" si="2"/>
        <v>0</v>
      </c>
      <c r="K40" s="75">
        <f t="shared" si="26"/>
        <v>0</v>
      </c>
      <c r="L40" s="78"/>
      <c r="M40" s="76">
        <f t="shared" si="34"/>
        <v>0</v>
      </c>
      <c r="N40" s="76">
        <f t="shared" si="35"/>
        <v>0</v>
      </c>
      <c r="O40" s="77"/>
      <c r="P40" s="75">
        <f t="shared" si="37"/>
        <v>0</v>
      </c>
      <c r="Q40" s="75">
        <f t="shared" si="7"/>
        <v>0</v>
      </c>
      <c r="R40" s="78"/>
      <c r="S40" s="76">
        <f t="shared" si="8"/>
        <v>0</v>
      </c>
      <c r="T40" s="76">
        <f t="shared" si="9"/>
        <v>0</v>
      </c>
      <c r="U40" s="77"/>
      <c r="V40" s="82">
        <f t="shared" si="10"/>
        <v>0</v>
      </c>
      <c r="W40" s="82">
        <f t="shared" si="36"/>
        <v>0</v>
      </c>
      <c r="X40" s="78"/>
      <c r="Y40" s="76">
        <f t="shared" si="38"/>
        <v>0</v>
      </c>
      <c r="Z40" s="76">
        <f t="shared" si="13"/>
        <v>0</v>
      </c>
      <c r="AA40" s="77"/>
      <c r="AB40" s="75">
        <f t="shared" si="14"/>
        <v>0</v>
      </c>
      <c r="AC40" s="75">
        <f t="shared" si="15"/>
        <v>0</v>
      </c>
      <c r="AD40" s="78"/>
      <c r="AE40" s="76">
        <f t="shared" si="16"/>
        <v>0</v>
      </c>
      <c r="AF40" s="76">
        <f t="shared" si="27"/>
        <v>0</v>
      </c>
      <c r="AG40" s="77"/>
      <c r="AH40" s="75">
        <f t="shared" si="28"/>
        <v>0</v>
      </c>
      <c r="AI40" s="75">
        <f t="shared" si="29"/>
        <v>0</v>
      </c>
      <c r="AJ40" s="78"/>
      <c r="AK40" s="76">
        <f t="shared" si="30"/>
        <v>0</v>
      </c>
      <c r="AL40" s="76">
        <f t="shared" si="31"/>
        <v>0</v>
      </c>
      <c r="AM40" s="77"/>
      <c r="AN40" s="75">
        <f t="shared" si="32"/>
        <v>0</v>
      </c>
      <c r="AO40" s="75">
        <f t="shared" si="33"/>
        <v>0</v>
      </c>
      <c r="AP40" s="84"/>
    </row>
    <row r="41" spans="1:42" s="38" customFormat="1" x14ac:dyDescent="0.2">
      <c r="A41" s="33">
        <f>Inputs!C41</f>
        <v>0</v>
      </c>
      <c r="B41" s="151">
        <f>Inputs!B41</f>
        <v>0</v>
      </c>
      <c r="C41" s="34">
        <f>Inputs!J41</f>
        <v>0</v>
      </c>
      <c r="D41" s="35">
        <f>Inputs!D41</f>
        <v>0</v>
      </c>
      <c r="E41" s="35">
        <f>Inputs!F41</f>
        <v>0</v>
      </c>
      <c r="F41" s="37"/>
      <c r="G41" s="74">
        <f t="shared" si="24"/>
        <v>0</v>
      </c>
      <c r="H41" s="74">
        <f t="shared" si="25"/>
        <v>0</v>
      </c>
      <c r="I41" s="77"/>
      <c r="J41" s="75">
        <f t="shared" si="2"/>
        <v>0</v>
      </c>
      <c r="K41" s="75">
        <f t="shared" si="26"/>
        <v>0</v>
      </c>
      <c r="L41" s="78"/>
      <c r="M41" s="76">
        <f t="shared" si="34"/>
        <v>0</v>
      </c>
      <c r="N41" s="76">
        <f t="shared" si="35"/>
        <v>0</v>
      </c>
      <c r="O41" s="77"/>
      <c r="P41" s="75">
        <f t="shared" si="37"/>
        <v>0</v>
      </c>
      <c r="Q41" s="75">
        <f t="shared" si="7"/>
        <v>0</v>
      </c>
      <c r="R41" s="78"/>
      <c r="S41" s="76">
        <f t="shared" si="8"/>
        <v>0</v>
      </c>
      <c r="T41" s="76">
        <f t="shared" si="9"/>
        <v>0</v>
      </c>
      <c r="U41" s="77"/>
      <c r="V41" s="82">
        <f t="shared" si="10"/>
        <v>0</v>
      </c>
      <c r="W41" s="82">
        <f t="shared" si="36"/>
        <v>0</v>
      </c>
      <c r="X41" s="78"/>
      <c r="Y41" s="76">
        <f t="shared" si="38"/>
        <v>0</v>
      </c>
      <c r="Z41" s="76">
        <f t="shared" ref="Z41:Z53" si="39">IF(AND(E41&gt;=DATE(+$C$5,7,1), (E41&lt;=DATE(+$C$5,7,31))), +$C41,)</f>
        <v>0</v>
      </c>
      <c r="AA41" s="77"/>
      <c r="AB41" s="75">
        <f t="shared" si="14"/>
        <v>0</v>
      </c>
      <c r="AC41" s="75">
        <f t="shared" si="15"/>
        <v>0</v>
      </c>
      <c r="AD41" s="78"/>
      <c r="AE41" s="76">
        <f t="shared" si="16"/>
        <v>0</v>
      </c>
      <c r="AF41" s="76">
        <f t="shared" si="27"/>
        <v>0</v>
      </c>
      <c r="AG41" s="77"/>
      <c r="AH41" s="75">
        <f t="shared" si="28"/>
        <v>0</v>
      </c>
      <c r="AI41" s="75">
        <f t="shared" si="29"/>
        <v>0</v>
      </c>
      <c r="AJ41" s="78"/>
      <c r="AK41" s="76">
        <f t="shared" si="30"/>
        <v>0</v>
      </c>
      <c r="AL41" s="76">
        <f t="shared" si="31"/>
        <v>0</v>
      </c>
      <c r="AM41" s="77"/>
      <c r="AN41" s="75">
        <f t="shared" si="32"/>
        <v>0</v>
      </c>
      <c r="AO41" s="75">
        <f t="shared" si="33"/>
        <v>0</v>
      </c>
      <c r="AP41" s="84"/>
    </row>
    <row r="42" spans="1:42" s="38" customFormat="1" x14ac:dyDescent="0.2">
      <c r="A42" s="33">
        <f>Inputs!C42</f>
        <v>0</v>
      </c>
      <c r="B42" s="151">
        <f>Inputs!B42</f>
        <v>0</v>
      </c>
      <c r="C42" s="34">
        <f>Inputs!J42</f>
        <v>0</v>
      </c>
      <c r="D42" s="35">
        <f>Inputs!D42</f>
        <v>0</v>
      </c>
      <c r="E42" s="35">
        <f>Inputs!F42</f>
        <v>0</v>
      </c>
      <c r="F42" s="37"/>
      <c r="G42" s="74">
        <f t="shared" si="24"/>
        <v>0</v>
      </c>
      <c r="H42" s="74">
        <f t="shared" si="25"/>
        <v>0</v>
      </c>
      <c r="I42" s="77"/>
      <c r="J42" s="75">
        <f t="shared" si="2"/>
        <v>0</v>
      </c>
      <c r="K42" s="75">
        <f t="shared" si="26"/>
        <v>0</v>
      </c>
      <c r="L42" s="78"/>
      <c r="M42" s="76">
        <f t="shared" si="34"/>
        <v>0</v>
      </c>
      <c r="N42" s="76">
        <f t="shared" si="35"/>
        <v>0</v>
      </c>
      <c r="O42" s="77"/>
      <c r="P42" s="75">
        <f t="shared" si="37"/>
        <v>0</v>
      </c>
      <c r="Q42" s="75">
        <f t="shared" ref="Q42:Q53" si="40">IF(AND(E42&gt;=DATE(+$C$5,4,1), (E42&lt;=DATE(+$C$5,4,30))), +$C42,)</f>
        <v>0</v>
      </c>
      <c r="R42" s="78"/>
      <c r="S42" s="76">
        <f t="shared" si="8"/>
        <v>0</v>
      </c>
      <c r="T42" s="76">
        <f t="shared" si="9"/>
        <v>0</v>
      </c>
      <c r="U42" s="77"/>
      <c r="V42" s="82">
        <f t="shared" si="10"/>
        <v>0</v>
      </c>
      <c r="W42" s="82">
        <f t="shared" si="36"/>
        <v>0</v>
      </c>
      <c r="X42" s="78"/>
      <c r="Y42" s="76">
        <f t="shared" si="38"/>
        <v>0</v>
      </c>
      <c r="Z42" s="76">
        <f t="shared" si="39"/>
        <v>0</v>
      </c>
      <c r="AA42" s="77"/>
      <c r="AB42" s="75">
        <f t="shared" si="14"/>
        <v>0</v>
      </c>
      <c r="AC42" s="75">
        <f t="shared" si="15"/>
        <v>0</v>
      </c>
      <c r="AD42" s="78"/>
      <c r="AE42" s="76">
        <f t="shared" ref="AE42:AE53" si="41">IF(AND(D42&gt;=DATE(+$C$5,9,1), (D42&lt;=DATE(+$C$5,9,30))), +$C42,)</f>
        <v>0</v>
      </c>
      <c r="AF42" s="76">
        <f t="shared" si="27"/>
        <v>0</v>
      </c>
      <c r="AG42" s="77"/>
      <c r="AH42" s="75">
        <f t="shared" si="28"/>
        <v>0</v>
      </c>
      <c r="AI42" s="75">
        <f t="shared" si="29"/>
        <v>0</v>
      </c>
      <c r="AJ42" s="78"/>
      <c r="AK42" s="76">
        <f t="shared" si="30"/>
        <v>0</v>
      </c>
      <c r="AL42" s="76">
        <f t="shared" si="31"/>
        <v>0</v>
      </c>
      <c r="AM42" s="77"/>
      <c r="AN42" s="75">
        <f t="shared" si="32"/>
        <v>0</v>
      </c>
      <c r="AO42" s="75">
        <f t="shared" si="33"/>
        <v>0</v>
      </c>
      <c r="AP42" s="84"/>
    </row>
    <row r="43" spans="1:42" s="38" customFormat="1" x14ac:dyDescent="0.2">
      <c r="A43" s="33">
        <f>Inputs!C43</f>
        <v>0</v>
      </c>
      <c r="B43" s="151">
        <f>Inputs!B43</f>
        <v>0</v>
      </c>
      <c r="C43" s="34">
        <f>Inputs!J43</f>
        <v>0</v>
      </c>
      <c r="D43" s="35">
        <f>Inputs!D43</f>
        <v>0</v>
      </c>
      <c r="E43" s="35">
        <f>Inputs!F43</f>
        <v>0</v>
      </c>
      <c r="F43" s="37"/>
      <c r="G43" s="74">
        <f t="shared" si="24"/>
        <v>0</v>
      </c>
      <c r="H43" s="74">
        <f t="shared" si="25"/>
        <v>0</v>
      </c>
      <c r="I43" s="77"/>
      <c r="J43" s="75">
        <f t="shared" si="2"/>
        <v>0</v>
      </c>
      <c r="K43" s="75">
        <f t="shared" si="26"/>
        <v>0</v>
      </c>
      <c r="L43" s="78"/>
      <c r="M43" s="76">
        <f t="shared" si="34"/>
        <v>0</v>
      </c>
      <c r="N43" s="76">
        <f t="shared" si="35"/>
        <v>0</v>
      </c>
      <c r="O43" s="77"/>
      <c r="P43" s="75">
        <f t="shared" si="37"/>
        <v>0</v>
      </c>
      <c r="Q43" s="75">
        <f t="shared" si="40"/>
        <v>0</v>
      </c>
      <c r="R43" s="78"/>
      <c r="S43" s="76">
        <f t="shared" si="8"/>
        <v>0</v>
      </c>
      <c r="T43" s="76">
        <f t="shared" si="9"/>
        <v>0</v>
      </c>
      <c r="U43" s="77"/>
      <c r="V43" s="82">
        <f t="shared" si="10"/>
        <v>0</v>
      </c>
      <c r="W43" s="82">
        <f t="shared" si="36"/>
        <v>0</v>
      </c>
      <c r="X43" s="78"/>
      <c r="Y43" s="76">
        <f t="shared" si="38"/>
        <v>0</v>
      </c>
      <c r="Z43" s="76">
        <f t="shared" si="39"/>
        <v>0</v>
      </c>
      <c r="AA43" s="77"/>
      <c r="AB43" s="75">
        <f t="shared" si="14"/>
        <v>0</v>
      </c>
      <c r="AC43" s="75">
        <f t="shared" si="15"/>
        <v>0</v>
      </c>
      <c r="AD43" s="78"/>
      <c r="AE43" s="76">
        <f t="shared" si="41"/>
        <v>0</v>
      </c>
      <c r="AF43" s="76">
        <f t="shared" si="27"/>
        <v>0</v>
      </c>
      <c r="AG43" s="77"/>
      <c r="AH43" s="75">
        <f t="shared" si="28"/>
        <v>0</v>
      </c>
      <c r="AI43" s="75">
        <f t="shared" si="29"/>
        <v>0</v>
      </c>
      <c r="AJ43" s="78"/>
      <c r="AK43" s="76">
        <f t="shared" si="30"/>
        <v>0</v>
      </c>
      <c r="AL43" s="76">
        <f t="shared" si="31"/>
        <v>0</v>
      </c>
      <c r="AM43" s="77"/>
      <c r="AN43" s="75">
        <f t="shared" si="32"/>
        <v>0</v>
      </c>
      <c r="AO43" s="75">
        <f t="shared" si="33"/>
        <v>0</v>
      </c>
      <c r="AP43" s="84"/>
    </row>
    <row r="44" spans="1:42" s="38" customFormat="1" x14ac:dyDescent="0.2">
      <c r="A44" s="33">
        <f>Inputs!C44</f>
        <v>0</v>
      </c>
      <c r="B44" s="151">
        <f>Inputs!B44</f>
        <v>0</v>
      </c>
      <c r="C44" s="34">
        <f>Inputs!J44</f>
        <v>0</v>
      </c>
      <c r="D44" s="35">
        <f>Inputs!D44</f>
        <v>0</v>
      </c>
      <c r="E44" s="35">
        <f>Inputs!F44</f>
        <v>0</v>
      </c>
      <c r="F44" s="37"/>
      <c r="G44" s="74">
        <f t="shared" si="24"/>
        <v>0</v>
      </c>
      <c r="H44" s="74">
        <f t="shared" si="25"/>
        <v>0</v>
      </c>
      <c r="I44" s="77"/>
      <c r="J44" s="75">
        <f t="shared" si="2"/>
        <v>0</v>
      </c>
      <c r="K44" s="75">
        <f t="shared" si="26"/>
        <v>0</v>
      </c>
      <c r="L44" s="78"/>
      <c r="M44" s="76">
        <f t="shared" si="34"/>
        <v>0</v>
      </c>
      <c r="N44" s="76">
        <f t="shared" si="35"/>
        <v>0</v>
      </c>
      <c r="O44" s="77"/>
      <c r="P44" s="75">
        <f t="shared" si="37"/>
        <v>0</v>
      </c>
      <c r="Q44" s="75">
        <f t="shared" si="40"/>
        <v>0</v>
      </c>
      <c r="R44" s="78"/>
      <c r="S44" s="76">
        <f t="shared" ref="S44:S53" si="42">IF(AND(D44&gt;=DATE(+$C$5,5,1), (D44&lt;=DATE(+$C$5,5,31))), +$C44,)</f>
        <v>0</v>
      </c>
      <c r="T44" s="76">
        <f t="shared" ref="T44:T53" si="43">IF(AND(E44&gt;=DATE(+$C$5,5,1), (E44&lt;=DATE(+$C$5,5,31))), +$C44,)</f>
        <v>0</v>
      </c>
      <c r="U44" s="77"/>
      <c r="V44" s="82">
        <f t="shared" si="10"/>
        <v>0</v>
      </c>
      <c r="W44" s="82">
        <f t="shared" si="36"/>
        <v>0</v>
      </c>
      <c r="X44" s="78"/>
      <c r="Y44" s="76">
        <f t="shared" si="38"/>
        <v>0</v>
      </c>
      <c r="Z44" s="76">
        <f t="shared" si="39"/>
        <v>0</v>
      </c>
      <c r="AA44" s="77"/>
      <c r="AB44" s="75">
        <f t="shared" si="14"/>
        <v>0</v>
      </c>
      <c r="AC44" s="75">
        <f t="shared" si="15"/>
        <v>0</v>
      </c>
      <c r="AD44" s="78"/>
      <c r="AE44" s="76">
        <f t="shared" si="41"/>
        <v>0</v>
      </c>
      <c r="AF44" s="76">
        <f t="shared" si="27"/>
        <v>0</v>
      </c>
      <c r="AG44" s="77"/>
      <c r="AH44" s="75">
        <f t="shared" si="28"/>
        <v>0</v>
      </c>
      <c r="AI44" s="75">
        <f t="shared" si="29"/>
        <v>0</v>
      </c>
      <c r="AJ44" s="78"/>
      <c r="AK44" s="76">
        <f t="shared" si="30"/>
        <v>0</v>
      </c>
      <c r="AL44" s="76">
        <f t="shared" si="31"/>
        <v>0</v>
      </c>
      <c r="AM44" s="77"/>
      <c r="AN44" s="75">
        <f t="shared" si="32"/>
        <v>0</v>
      </c>
      <c r="AO44" s="75">
        <f t="shared" si="33"/>
        <v>0</v>
      </c>
      <c r="AP44" s="84"/>
    </row>
    <row r="45" spans="1:42" s="38" customFormat="1" x14ac:dyDescent="0.2">
      <c r="A45" s="33">
        <f>Inputs!C45</f>
        <v>0</v>
      </c>
      <c r="B45" s="151">
        <f>Inputs!B45</f>
        <v>0</v>
      </c>
      <c r="C45" s="34">
        <f>Inputs!J45</f>
        <v>0</v>
      </c>
      <c r="D45" s="35">
        <f>Inputs!D45</f>
        <v>0</v>
      </c>
      <c r="E45" s="35">
        <f>Inputs!F45</f>
        <v>0</v>
      </c>
      <c r="F45" s="37"/>
      <c r="G45" s="74">
        <f t="shared" si="24"/>
        <v>0</v>
      </c>
      <c r="H45" s="74">
        <f t="shared" si="25"/>
        <v>0</v>
      </c>
      <c r="I45" s="77"/>
      <c r="J45" s="75">
        <f t="shared" si="2"/>
        <v>0</v>
      </c>
      <c r="K45" s="75">
        <f t="shared" si="26"/>
        <v>0</v>
      </c>
      <c r="L45" s="78"/>
      <c r="M45" s="76">
        <f t="shared" si="34"/>
        <v>0</v>
      </c>
      <c r="N45" s="76">
        <f t="shared" si="35"/>
        <v>0</v>
      </c>
      <c r="O45" s="77"/>
      <c r="P45" s="75">
        <f t="shared" si="37"/>
        <v>0</v>
      </c>
      <c r="Q45" s="75">
        <f t="shared" si="40"/>
        <v>0</v>
      </c>
      <c r="R45" s="78"/>
      <c r="S45" s="76">
        <f t="shared" si="42"/>
        <v>0</v>
      </c>
      <c r="T45" s="76">
        <f t="shared" si="43"/>
        <v>0</v>
      </c>
      <c r="U45" s="77"/>
      <c r="V45" s="82">
        <f t="shared" si="10"/>
        <v>0</v>
      </c>
      <c r="W45" s="82">
        <f t="shared" si="36"/>
        <v>0</v>
      </c>
      <c r="X45" s="78"/>
      <c r="Y45" s="76">
        <f t="shared" si="38"/>
        <v>0</v>
      </c>
      <c r="Z45" s="76">
        <f t="shared" si="39"/>
        <v>0</v>
      </c>
      <c r="AA45" s="77"/>
      <c r="AB45" s="75">
        <f t="shared" si="14"/>
        <v>0</v>
      </c>
      <c r="AC45" s="75">
        <f t="shared" si="15"/>
        <v>0</v>
      </c>
      <c r="AD45" s="78"/>
      <c r="AE45" s="76">
        <f t="shared" si="41"/>
        <v>0</v>
      </c>
      <c r="AF45" s="76">
        <f t="shared" si="27"/>
        <v>0</v>
      </c>
      <c r="AG45" s="77"/>
      <c r="AH45" s="75">
        <f t="shared" si="28"/>
        <v>0</v>
      </c>
      <c r="AI45" s="75">
        <f t="shared" si="29"/>
        <v>0</v>
      </c>
      <c r="AJ45" s="78"/>
      <c r="AK45" s="76">
        <f t="shared" si="30"/>
        <v>0</v>
      </c>
      <c r="AL45" s="76">
        <f t="shared" si="31"/>
        <v>0</v>
      </c>
      <c r="AM45" s="77"/>
      <c r="AN45" s="75">
        <f t="shared" si="32"/>
        <v>0</v>
      </c>
      <c r="AO45" s="75">
        <f t="shared" si="33"/>
        <v>0</v>
      </c>
      <c r="AP45" s="84"/>
    </row>
    <row r="46" spans="1:42" s="38" customFormat="1" x14ac:dyDescent="0.2">
      <c r="A46" s="33">
        <f>Inputs!C46</f>
        <v>0</v>
      </c>
      <c r="B46" s="151">
        <f>Inputs!B46</f>
        <v>0</v>
      </c>
      <c r="C46" s="34">
        <f>Inputs!J46</f>
        <v>0</v>
      </c>
      <c r="D46" s="35">
        <f>Inputs!D46</f>
        <v>0</v>
      </c>
      <c r="E46" s="35">
        <f>Inputs!F46</f>
        <v>0</v>
      </c>
      <c r="F46" s="37"/>
      <c r="G46" s="74">
        <f t="shared" si="24"/>
        <v>0</v>
      </c>
      <c r="H46" s="74">
        <f t="shared" si="25"/>
        <v>0</v>
      </c>
      <c r="I46" s="77"/>
      <c r="J46" s="75">
        <f t="shared" si="2"/>
        <v>0</v>
      </c>
      <c r="K46" s="75">
        <f t="shared" si="26"/>
        <v>0</v>
      </c>
      <c r="L46" s="78"/>
      <c r="M46" s="76">
        <f t="shared" si="34"/>
        <v>0</v>
      </c>
      <c r="N46" s="76">
        <f t="shared" si="35"/>
        <v>0</v>
      </c>
      <c r="O46" s="77"/>
      <c r="P46" s="75">
        <f t="shared" si="37"/>
        <v>0</v>
      </c>
      <c r="Q46" s="75">
        <f t="shared" si="40"/>
        <v>0</v>
      </c>
      <c r="R46" s="78"/>
      <c r="S46" s="76">
        <f t="shared" si="42"/>
        <v>0</v>
      </c>
      <c r="T46" s="76">
        <f t="shared" si="43"/>
        <v>0</v>
      </c>
      <c r="U46" s="77"/>
      <c r="V46" s="82">
        <f t="shared" si="10"/>
        <v>0</v>
      </c>
      <c r="W46" s="82">
        <f t="shared" si="36"/>
        <v>0</v>
      </c>
      <c r="X46" s="78"/>
      <c r="Y46" s="76">
        <f t="shared" si="38"/>
        <v>0</v>
      </c>
      <c r="Z46" s="76">
        <f t="shared" si="39"/>
        <v>0</v>
      </c>
      <c r="AA46" s="77"/>
      <c r="AB46" s="75">
        <f t="shared" si="14"/>
        <v>0</v>
      </c>
      <c r="AC46" s="75">
        <f t="shared" ref="AC46:AC53" si="44">IF(AND(E46&gt;=DATE(+$C$5,8,1), (E46&lt;=DATE(+$C$5,8,31))), +$C46,)</f>
        <v>0</v>
      </c>
      <c r="AD46" s="78"/>
      <c r="AE46" s="76">
        <f t="shared" si="41"/>
        <v>0</v>
      </c>
      <c r="AF46" s="76">
        <f t="shared" si="27"/>
        <v>0</v>
      </c>
      <c r="AG46" s="77"/>
      <c r="AH46" s="75">
        <f t="shared" si="28"/>
        <v>0</v>
      </c>
      <c r="AI46" s="75">
        <f t="shared" si="29"/>
        <v>0</v>
      </c>
      <c r="AJ46" s="78"/>
      <c r="AK46" s="76">
        <f t="shared" si="30"/>
        <v>0</v>
      </c>
      <c r="AL46" s="76">
        <f t="shared" si="31"/>
        <v>0</v>
      </c>
      <c r="AM46" s="77"/>
      <c r="AN46" s="75">
        <f t="shared" si="32"/>
        <v>0</v>
      </c>
      <c r="AO46" s="75">
        <f t="shared" si="33"/>
        <v>0</v>
      </c>
      <c r="AP46" s="84"/>
    </row>
    <row r="47" spans="1:42" s="38" customFormat="1" x14ac:dyDescent="0.2">
      <c r="A47" s="33">
        <f>Inputs!C47</f>
        <v>0</v>
      </c>
      <c r="B47" s="151">
        <f>Inputs!B47</f>
        <v>0</v>
      </c>
      <c r="C47" s="34">
        <f>Inputs!J47</f>
        <v>0</v>
      </c>
      <c r="D47" s="35">
        <f>Inputs!D47</f>
        <v>0</v>
      </c>
      <c r="E47" s="35">
        <f>Inputs!F47</f>
        <v>0</v>
      </c>
      <c r="F47" s="37"/>
      <c r="G47" s="74">
        <f t="shared" si="24"/>
        <v>0</v>
      </c>
      <c r="H47" s="74">
        <f t="shared" si="25"/>
        <v>0</v>
      </c>
      <c r="I47" s="77"/>
      <c r="J47" s="75">
        <f t="shared" si="2"/>
        <v>0</v>
      </c>
      <c r="K47" s="75">
        <f t="shared" si="26"/>
        <v>0</v>
      </c>
      <c r="L47" s="78"/>
      <c r="M47" s="76">
        <f t="shared" si="34"/>
        <v>0</v>
      </c>
      <c r="N47" s="76">
        <f t="shared" si="35"/>
        <v>0</v>
      </c>
      <c r="O47" s="77"/>
      <c r="P47" s="75">
        <f t="shared" si="37"/>
        <v>0</v>
      </c>
      <c r="Q47" s="75">
        <f t="shared" si="40"/>
        <v>0</v>
      </c>
      <c r="R47" s="78"/>
      <c r="S47" s="76">
        <f t="shared" si="42"/>
        <v>0</v>
      </c>
      <c r="T47" s="76">
        <f t="shared" si="43"/>
        <v>0</v>
      </c>
      <c r="U47" s="77"/>
      <c r="V47" s="82">
        <f t="shared" si="10"/>
        <v>0</v>
      </c>
      <c r="W47" s="82">
        <f t="shared" si="36"/>
        <v>0</v>
      </c>
      <c r="X47" s="78"/>
      <c r="Y47" s="76">
        <f t="shared" si="38"/>
        <v>0</v>
      </c>
      <c r="Z47" s="76">
        <f t="shared" si="39"/>
        <v>0</v>
      </c>
      <c r="AA47" s="77"/>
      <c r="AB47" s="75">
        <f t="shared" ref="AB47:AB53" si="45">IF(AND(D47&gt;=DATE(+$C$5,8,1), (D47&lt;=DATE(+$C$5,8,31))), +$C47,)</f>
        <v>0</v>
      </c>
      <c r="AC47" s="75">
        <f t="shared" si="44"/>
        <v>0</v>
      </c>
      <c r="AD47" s="78"/>
      <c r="AE47" s="76">
        <f t="shared" si="41"/>
        <v>0</v>
      </c>
      <c r="AF47" s="76">
        <f t="shared" si="27"/>
        <v>0</v>
      </c>
      <c r="AG47" s="77"/>
      <c r="AH47" s="75">
        <f t="shared" si="28"/>
        <v>0</v>
      </c>
      <c r="AI47" s="75">
        <f t="shared" si="29"/>
        <v>0</v>
      </c>
      <c r="AJ47" s="78"/>
      <c r="AK47" s="76">
        <f t="shared" si="30"/>
        <v>0</v>
      </c>
      <c r="AL47" s="76">
        <f t="shared" si="31"/>
        <v>0</v>
      </c>
      <c r="AM47" s="77"/>
      <c r="AN47" s="75">
        <f t="shared" si="32"/>
        <v>0</v>
      </c>
      <c r="AO47" s="75">
        <f t="shared" si="33"/>
        <v>0</v>
      </c>
      <c r="AP47" s="84"/>
    </row>
    <row r="48" spans="1:42" s="38" customFormat="1" x14ac:dyDescent="0.2">
      <c r="A48" s="33">
        <f>Inputs!C48</f>
        <v>0</v>
      </c>
      <c r="B48" s="151">
        <f>Inputs!B48</f>
        <v>0</v>
      </c>
      <c r="C48" s="34">
        <f>Inputs!J48</f>
        <v>0</v>
      </c>
      <c r="D48" s="35">
        <f>Inputs!D48</f>
        <v>0</v>
      </c>
      <c r="E48" s="35">
        <f>Inputs!F48</f>
        <v>0</v>
      </c>
      <c r="F48" s="37"/>
      <c r="G48" s="74">
        <f t="shared" si="24"/>
        <v>0</v>
      </c>
      <c r="H48" s="74">
        <f t="shared" si="25"/>
        <v>0</v>
      </c>
      <c r="I48" s="77"/>
      <c r="J48" s="75">
        <f t="shared" si="2"/>
        <v>0</v>
      </c>
      <c r="K48" s="75">
        <f t="shared" si="26"/>
        <v>0</v>
      </c>
      <c r="L48" s="78"/>
      <c r="M48" s="76">
        <f t="shared" si="34"/>
        <v>0</v>
      </c>
      <c r="N48" s="76">
        <f t="shared" si="35"/>
        <v>0</v>
      </c>
      <c r="O48" s="77"/>
      <c r="P48" s="75">
        <f t="shared" si="37"/>
        <v>0</v>
      </c>
      <c r="Q48" s="75">
        <f t="shared" si="40"/>
        <v>0</v>
      </c>
      <c r="R48" s="78"/>
      <c r="S48" s="76">
        <f t="shared" si="42"/>
        <v>0</v>
      </c>
      <c r="T48" s="76">
        <f t="shared" si="43"/>
        <v>0</v>
      </c>
      <c r="U48" s="77"/>
      <c r="V48" s="82">
        <f t="shared" si="10"/>
        <v>0</v>
      </c>
      <c r="W48" s="82">
        <f t="shared" si="36"/>
        <v>0</v>
      </c>
      <c r="X48" s="78"/>
      <c r="Y48" s="76">
        <f t="shared" si="38"/>
        <v>0</v>
      </c>
      <c r="Z48" s="76">
        <f t="shared" si="39"/>
        <v>0</v>
      </c>
      <c r="AA48" s="77"/>
      <c r="AB48" s="75">
        <f t="shared" si="45"/>
        <v>0</v>
      </c>
      <c r="AC48" s="75">
        <f t="shared" si="44"/>
        <v>0</v>
      </c>
      <c r="AD48" s="78"/>
      <c r="AE48" s="76">
        <f t="shared" si="41"/>
        <v>0</v>
      </c>
      <c r="AF48" s="76">
        <f t="shared" si="27"/>
        <v>0</v>
      </c>
      <c r="AG48" s="77"/>
      <c r="AH48" s="75">
        <f t="shared" si="28"/>
        <v>0</v>
      </c>
      <c r="AI48" s="75">
        <f t="shared" si="29"/>
        <v>0</v>
      </c>
      <c r="AJ48" s="78"/>
      <c r="AK48" s="76">
        <f t="shared" si="30"/>
        <v>0</v>
      </c>
      <c r="AL48" s="76">
        <f t="shared" si="31"/>
        <v>0</v>
      </c>
      <c r="AM48" s="77"/>
      <c r="AN48" s="75">
        <f t="shared" si="32"/>
        <v>0</v>
      </c>
      <c r="AO48" s="75">
        <f t="shared" si="33"/>
        <v>0</v>
      </c>
      <c r="AP48" s="84"/>
    </row>
    <row r="49" spans="1:42" s="38" customFormat="1" x14ac:dyDescent="0.2">
      <c r="A49" s="33">
        <f>Inputs!C49</f>
        <v>0</v>
      </c>
      <c r="B49" s="151">
        <f>Inputs!B49</f>
        <v>0</v>
      </c>
      <c r="C49" s="34">
        <f>Inputs!J49</f>
        <v>0</v>
      </c>
      <c r="D49" s="35">
        <f>Inputs!D49</f>
        <v>0</v>
      </c>
      <c r="E49" s="35">
        <f>Inputs!F49</f>
        <v>0</v>
      </c>
      <c r="F49" s="37"/>
      <c r="G49" s="74">
        <f t="shared" si="24"/>
        <v>0</v>
      </c>
      <c r="H49" s="74">
        <f t="shared" si="25"/>
        <v>0</v>
      </c>
      <c r="I49" s="77"/>
      <c r="J49" s="75">
        <f t="shared" si="2"/>
        <v>0</v>
      </c>
      <c r="K49" s="75">
        <f t="shared" si="26"/>
        <v>0</v>
      </c>
      <c r="L49" s="78"/>
      <c r="M49" s="76">
        <f t="shared" si="34"/>
        <v>0</v>
      </c>
      <c r="N49" s="76">
        <f t="shared" si="35"/>
        <v>0</v>
      </c>
      <c r="O49" s="77"/>
      <c r="P49" s="75">
        <f t="shared" si="37"/>
        <v>0</v>
      </c>
      <c r="Q49" s="75">
        <f t="shared" si="40"/>
        <v>0</v>
      </c>
      <c r="R49" s="78"/>
      <c r="S49" s="76">
        <f t="shared" si="42"/>
        <v>0</v>
      </c>
      <c r="T49" s="76">
        <f t="shared" si="43"/>
        <v>0</v>
      </c>
      <c r="U49" s="77"/>
      <c r="V49" s="82">
        <f t="shared" si="10"/>
        <v>0</v>
      </c>
      <c r="W49" s="82">
        <f t="shared" si="36"/>
        <v>0</v>
      </c>
      <c r="X49" s="78"/>
      <c r="Y49" s="76">
        <f t="shared" si="38"/>
        <v>0</v>
      </c>
      <c r="Z49" s="76">
        <f t="shared" si="39"/>
        <v>0</v>
      </c>
      <c r="AA49" s="77"/>
      <c r="AB49" s="75">
        <f t="shared" si="45"/>
        <v>0</v>
      </c>
      <c r="AC49" s="75">
        <f t="shared" si="44"/>
        <v>0</v>
      </c>
      <c r="AD49" s="78"/>
      <c r="AE49" s="76">
        <f t="shared" si="41"/>
        <v>0</v>
      </c>
      <c r="AF49" s="76">
        <f t="shared" si="27"/>
        <v>0</v>
      </c>
      <c r="AG49" s="77"/>
      <c r="AH49" s="75">
        <f t="shared" si="28"/>
        <v>0</v>
      </c>
      <c r="AI49" s="75">
        <f t="shared" si="29"/>
        <v>0</v>
      </c>
      <c r="AJ49" s="78"/>
      <c r="AK49" s="76">
        <f t="shared" si="30"/>
        <v>0</v>
      </c>
      <c r="AL49" s="76">
        <f t="shared" si="31"/>
        <v>0</v>
      </c>
      <c r="AM49" s="77"/>
      <c r="AN49" s="75">
        <f t="shared" si="32"/>
        <v>0</v>
      </c>
      <c r="AO49" s="75">
        <f t="shared" si="33"/>
        <v>0</v>
      </c>
      <c r="AP49" s="84"/>
    </row>
    <row r="50" spans="1:42" s="38" customFormat="1" x14ac:dyDescent="0.2">
      <c r="A50" s="33">
        <f>Inputs!C50</f>
        <v>0</v>
      </c>
      <c r="B50" s="151">
        <f>Inputs!B50</f>
        <v>0</v>
      </c>
      <c r="C50" s="34">
        <f>Inputs!J50</f>
        <v>0</v>
      </c>
      <c r="D50" s="35">
        <f>Inputs!D50</f>
        <v>0</v>
      </c>
      <c r="E50" s="35">
        <f>Inputs!F50</f>
        <v>0</v>
      </c>
      <c r="F50" s="37"/>
      <c r="G50" s="74">
        <f t="shared" si="24"/>
        <v>0</v>
      </c>
      <c r="H50" s="74">
        <f t="shared" si="25"/>
        <v>0</v>
      </c>
      <c r="I50" s="77"/>
      <c r="J50" s="75">
        <f t="shared" si="2"/>
        <v>0</v>
      </c>
      <c r="K50" s="75">
        <f t="shared" si="26"/>
        <v>0</v>
      </c>
      <c r="L50" s="78"/>
      <c r="M50" s="76">
        <f t="shared" si="34"/>
        <v>0</v>
      </c>
      <c r="N50" s="76">
        <f t="shared" si="35"/>
        <v>0</v>
      </c>
      <c r="O50" s="77"/>
      <c r="P50" s="75">
        <f t="shared" si="37"/>
        <v>0</v>
      </c>
      <c r="Q50" s="75">
        <f t="shared" si="40"/>
        <v>0</v>
      </c>
      <c r="R50" s="78"/>
      <c r="S50" s="76">
        <f t="shared" si="42"/>
        <v>0</v>
      </c>
      <c r="T50" s="76">
        <f t="shared" si="43"/>
        <v>0</v>
      </c>
      <c r="U50" s="77"/>
      <c r="V50" s="82">
        <f t="shared" si="10"/>
        <v>0</v>
      </c>
      <c r="W50" s="82">
        <f t="shared" si="36"/>
        <v>0</v>
      </c>
      <c r="X50" s="78"/>
      <c r="Y50" s="76">
        <f t="shared" si="38"/>
        <v>0</v>
      </c>
      <c r="Z50" s="76">
        <f t="shared" si="39"/>
        <v>0</v>
      </c>
      <c r="AA50" s="77"/>
      <c r="AB50" s="75">
        <f t="shared" si="45"/>
        <v>0</v>
      </c>
      <c r="AC50" s="75">
        <f t="shared" si="44"/>
        <v>0</v>
      </c>
      <c r="AD50" s="78"/>
      <c r="AE50" s="76">
        <f t="shared" si="41"/>
        <v>0</v>
      </c>
      <c r="AF50" s="76">
        <f t="shared" si="27"/>
        <v>0</v>
      </c>
      <c r="AG50" s="77"/>
      <c r="AH50" s="75">
        <f t="shared" si="28"/>
        <v>0</v>
      </c>
      <c r="AI50" s="75">
        <f t="shared" si="29"/>
        <v>0</v>
      </c>
      <c r="AJ50" s="78"/>
      <c r="AK50" s="76">
        <f t="shared" si="30"/>
        <v>0</v>
      </c>
      <c r="AL50" s="76">
        <f t="shared" si="31"/>
        <v>0</v>
      </c>
      <c r="AM50" s="77"/>
      <c r="AN50" s="75">
        <f t="shared" si="32"/>
        <v>0</v>
      </c>
      <c r="AO50" s="75">
        <f t="shared" si="33"/>
        <v>0</v>
      </c>
      <c r="AP50" s="84"/>
    </row>
    <row r="51" spans="1:42" s="38" customFormat="1" x14ac:dyDescent="0.2">
      <c r="A51" s="33">
        <f>Inputs!C51</f>
        <v>0</v>
      </c>
      <c r="B51" s="151">
        <f>Inputs!B51</f>
        <v>0</v>
      </c>
      <c r="C51" s="34">
        <f>Inputs!J51</f>
        <v>0</v>
      </c>
      <c r="D51" s="35">
        <f>Inputs!D51</f>
        <v>0</v>
      </c>
      <c r="E51" s="35">
        <f>Inputs!F51</f>
        <v>0</v>
      </c>
      <c r="F51" s="37"/>
      <c r="G51" s="74">
        <f t="shared" si="24"/>
        <v>0</v>
      </c>
      <c r="H51" s="74">
        <f t="shared" si="25"/>
        <v>0</v>
      </c>
      <c r="I51" s="77"/>
      <c r="J51" s="75">
        <f t="shared" si="2"/>
        <v>0</v>
      </c>
      <c r="K51" s="75">
        <f t="shared" si="26"/>
        <v>0</v>
      </c>
      <c r="L51" s="78"/>
      <c r="M51" s="76">
        <f t="shared" si="34"/>
        <v>0</v>
      </c>
      <c r="N51" s="76">
        <f t="shared" si="35"/>
        <v>0</v>
      </c>
      <c r="O51" s="77"/>
      <c r="P51" s="75">
        <f t="shared" si="37"/>
        <v>0</v>
      </c>
      <c r="Q51" s="75">
        <f t="shared" si="40"/>
        <v>0</v>
      </c>
      <c r="R51" s="78"/>
      <c r="S51" s="76">
        <f t="shared" si="42"/>
        <v>0</v>
      </c>
      <c r="T51" s="76">
        <f t="shared" si="43"/>
        <v>0</v>
      </c>
      <c r="U51" s="77"/>
      <c r="V51" s="82">
        <f t="shared" si="10"/>
        <v>0</v>
      </c>
      <c r="W51" s="82">
        <f t="shared" si="36"/>
        <v>0</v>
      </c>
      <c r="X51" s="78"/>
      <c r="Y51" s="76">
        <f t="shared" si="38"/>
        <v>0</v>
      </c>
      <c r="Z51" s="76">
        <f t="shared" si="39"/>
        <v>0</v>
      </c>
      <c r="AA51" s="77"/>
      <c r="AB51" s="75">
        <f t="shared" si="45"/>
        <v>0</v>
      </c>
      <c r="AC51" s="75">
        <f t="shared" si="44"/>
        <v>0</v>
      </c>
      <c r="AD51" s="78"/>
      <c r="AE51" s="76">
        <f t="shared" si="41"/>
        <v>0</v>
      </c>
      <c r="AF51" s="76">
        <f t="shared" si="27"/>
        <v>0</v>
      </c>
      <c r="AG51" s="77"/>
      <c r="AH51" s="75">
        <f t="shared" si="28"/>
        <v>0</v>
      </c>
      <c r="AI51" s="75">
        <f t="shared" si="29"/>
        <v>0</v>
      </c>
      <c r="AJ51" s="78"/>
      <c r="AK51" s="76">
        <f t="shared" si="30"/>
        <v>0</v>
      </c>
      <c r="AL51" s="76">
        <f t="shared" si="31"/>
        <v>0</v>
      </c>
      <c r="AM51" s="77"/>
      <c r="AN51" s="75">
        <f t="shared" si="32"/>
        <v>0</v>
      </c>
      <c r="AO51" s="75">
        <f t="shared" si="33"/>
        <v>0</v>
      </c>
      <c r="AP51" s="84"/>
    </row>
    <row r="52" spans="1:42" s="38" customFormat="1" x14ac:dyDescent="0.2">
      <c r="A52" s="33">
        <f>Inputs!C52</f>
        <v>0</v>
      </c>
      <c r="B52" s="151">
        <f>Inputs!B52</f>
        <v>0</v>
      </c>
      <c r="C52" s="34">
        <f>Inputs!J52</f>
        <v>0</v>
      </c>
      <c r="D52" s="35">
        <f>Inputs!D52</f>
        <v>0</v>
      </c>
      <c r="E52" s="35">
        <f>Inputs!F52</f>
        <v>0</v>
      </c>
      <c r="F52" s="37"/>
      <c r="G52" s="74">
        <f t="shared" si="24"/>
        <v>0</v>
      </c>
      <c r="H52" s="74">
        <f t="shared" si="25"/>
        <v>0</v>
      </c>
      <c r="I52" s="77"/>
      <c r="J52" s="75">
        <f t="shared" si="2"/>
        <v>0</v>
      </c>
      <c r="K52" s="75">
        <f t="shared" si="26"/>
        <v>0</v>
      </c>
      <c r="L52" s="78"/>
      <c r="M52" s="76">
        <f t="shared" si="34"/>
        <v>0</v>
      </c>
      <c r="N52" s="76">
        <f t="shared" si="35"/>
        <v>0</v>
      </c>
      <c r="O52" s="77"/>
      <c r="P52" s="75">
        <f t="shared" si="37"/>
        <v>0</v>
      </c>
      <c r="Q52" s="75">
        <f t="shared" si="40"/>
        <v>0</v>
      </c>
      <c r="R52" s="78"/>
      <c r="S52" s="76">
        <f t="shared" si="42"/>
        <v>0</v>
      </c>
      <c r="T52" s="76">
        <f t="shared" si="43"/>
        <v>0</v>
      </c>
      <c r="U52" s="77"/>
      <c r="V52" s="82">
        <f t="shared" si="10"/>
        <v>0</v>
      </c>
      <c r="W52" s="82">
        <f t="shared" si="36"/>
        <v>0</v>
      </c>
      <c r="X52" s="78"/>
      <c r="Y52" s="76">
        <f t="shared" si="38"/>
        <v>0</v>
      </c>
      <c r="Z52" s="76">
        <f t="shared" si="39"/>
        <v>0</v>
      </c>
      <c r="AA52" s="77"/>
      <c r="AB52" s="75">
        <f t="shared" si="45"/>
        <v>0</v>
      </c>
      <c r="AC52" s="75">
        <f t="shared" si="44"/>
        <v>0</v>
      </c>
      <c r="AD52" s="78"/>
      <c r="AE52" s="76">
        <f t="shared" si="41"/>
        <v>0</v>
      </c>
      <c r="AF52" s="76">
        <f t="shared" si="27"/>
        <v>0</v>
      </c>
      <c r="AG52" s="77"/>
      <c r="AH52" s="75">
        <f t="shared" si="28"/>
        <v>0</v>
      </c>
      <c r="AI52" s="75">
        <f t="shared" si="29"/>
        <v>0</v>
      </c>
      <c r="AJ52" s="78"/>
      <c r="AK52" s="76">
        <f t="shared" si="30"/>
        <v>0</v>
      </c>
      <c r="AL52" s="76">
        <f t="shared" si="31"/>
        <v>0</v>
      </c>
      <c r="AM52" s="77"/>
      <c r="AN52" s="75">
        <f t="shared" si="32"/>
        <v>0</v>
      </c>
      <c r="AO52" s="75">
        <f t="shared" si="33"/>
        <v>0</v>
      </c>
      <c r="AP52" s="84"/>
    </row>
    <row r="53" spans="1:42" s="38" customFormat="1" x14ac:dyDescent="0.2">
      <c r="A53" s="33">
        <f>Inputs!C53</f>
        <v>0</v>
      </c>
      <c r="B53" s="151">
        <f>Inputs!B53</f>
        <v>0</v>
      </c>
      <c r="C53" s="34">
        <f>Inputs!J53</f>
        <v>0</v>
      </c>
      <c r="D53" s="35">
        <f>Inputs!D53</f>
        <v>0</v>
      </c>
      <c r="E53" s="35">
        <f>Inputs!F53</f>
        <v>0</v>
      </c>
      <c r="F53" s="37"/>
      <c r="G53" s="74">
        <f t="shared" si="24"/>
        <v>0</v>
      </c>
      <c r="H53" s="74">
        <f t="shared" si="25"/>
        <v>0</v>
      </c>
      <c r="I53" s="77"/>
      <c r="J53" s="75">
        <f t="shared" si="2"/>
        <v>0</v>
      </c>
      <c r="K53" s="75">
        <f t="shared" si="26"/>
        <v>0</v>
      </c>
      <c r="L53" s="78"/>
      <c r="M53" s="76">
        <f t="shared" si="34"/>
        <v>0</v>
      </c>
      <c r="N53" s="76">
        <f t="shared" si="35"/>
        <v>0</v>
      </c>
      <c r="O53" s="77"/>
      <c r="P53" s="75">
        <f t="shared" si="37"/>
        <v>0</v>
      </c>
      <c r="Q53" s="75">
        <f t="shared" si="40"/>
        <v>0</v>
      </c>
      <c r="R53" s="78"/>
      <c r="S53" s="76">
        <f t="shared" si="42"/>
        <v>0</v>
      </c>
      <c r="T53" s="76">
        <f t="shared" si="43"/>
        <v>0</v>
      </c>
      <c r="U53" s="77"/>
      <c r="V53" s="82">
        <f>IF(AND(D53&gt;=DATE(+$C$5,6,1), (D53&lt;=DATE(+$C$5,6,30))), +$C53,)</f>
        <v>0</v>
      </c>
      <c r="W53" s="82">
        <f t="shared" si="36"/>
        <v>0</v>
      </c>
      <c r="X53" s="78"/>
      <c r="Y53" s="76">
        <f t="shared" si="38"/>
        <v>0</v>
      </c>
      <c r="Z53" s="76">
        <f t="shared" si="39"/>
        <v>0</v>
      </c>
      <c r="AA53" s="77"/>
      <c r="AB53" s="75">
        <f t="shared" si="45"/>
        <v>0</v>
      </c>
      <c r="AC53" s="75">
        <f t="shared" si="44"/>
        <v>0</v>
      </c>
      <c r="AD53" s="78"/>
      <c r="AE53" s="76">
        <f t="shared" si="41"/>
        <v>0</v>
      </c>
      <c r="AF53" s="76">
        <f t="shared" si="27"/>
        <v>0</v>
      </c>
      <c r="AG53" s="77"/>
      <c r="AH53" s="75">
        <f t="shared" si="28"/>
        <v>0</v>
      </c>
      <c r="AI53" s="75">
        <f t="shared" si="29"/>
        <v>0</v>
      </c>
      <c r="AJ53" s="78"/>
      <c r="AK53" s="76">
        <f t="shared" si="30"/>
        <v>0</v>
      </c>
      <c r="AL53" s="76">
        <f t="shared" si="31"/>
        <v>0</v>
      </c>
      <c r="AM53" s="77"/>
      <c r="AN53" s="75">
        <f t="shared" si="32"/>
        <v>0</v>
      </c>
      <c r="AO53" s="75">
        <f t="shared" si="33"/>
        <v>0</v>
      </c>
      <c r="AP53" s="84"/>
    </row>
    <row r="54" spans="1:42" s="38" customFormat="1" x14ac:dyDescent="0.2">
      <c r="A54" s="33">
        <f>Inputs!C54</f>
        <v>0</v>
      </c>
      <c r="B54" s="151">
        <f>Inputs!B54</f>
        <v>0</v>
      </c>
      <c r="C54" s="34">
        <f>Inputs!J54</f>
        <v>0</v>
      </c>
      <c r="D54" s="35">
        <f>Inputs!D54</f>
        <v>0</v>
      </c>
      <c r="E54" s="35">
        <f>Inputs!F54</f>
        <v>0</v>
      </c>
      <c r="F54" s="37"/>
      <c r="G54" s="74">
        <f t="shared" ref="G54:G77" si="46">IF(AND(D54&gt;=DATE(+$C$5,1,1), (D54&lt;=DATE(+$C$5,1,31))), +$C54,)</f>
        <v>0</v>
      </c>
      <c r="H54" s="74">
        <f t="shared" ref="H54:H77" si="47">IF(AND(E54&gt;=DATE(+$C$5,1,1), (E54&lt;=DATE(+$C$5,1,31))), +$C54,)</f>
        <v>0</v>
      </c>
      <c r="I54" s="77"/>
      <c r="J54" s="75">
        <f t="shared" si="2"/>
        <v>0</v>
      </c>
      <c r="K54" s="75">
        <f t="shared" ref="K54:K77" si="48">IF(AND(E54&gt;=DATE(+$C$5,2,1), (E54&lt;=DATE(+$C$5,2,29))), +$C54,)</f>
        <v>0</v>
      </c>
      <c r="L54" s="78"/>
      <c r="M54" s="76">
        <f t="shared" ref="M54:M77" si="49">IF(AND(D54&gt;=DATE(+$C$5,3,1), (D54&lt;=DATE(+$C$5,3,31))), +$C54,)</f>
        <v>0</v>
      </c>
      <c r="N54" s="76">
        <f t="shared" ref="N54:N77" si="50">IF(AND(E54&gt;=DATE(+$C$5,3,1), (E54&lt;=DATE(+$C$5,3,31))), +$C54,)</f>
        <v>0</v>
      </c>
      <c r="O54" s="77"/>
      <c r="P54" s="75">
        <f t="shared" ref="P54:P77" si="51">IF(AND(D54&gt;=DATE(+$C$5,4,1), (D54&lt;=DATE(+$C$5,4,30))), +$C54,)</f>
        <v>0</v>
      </c>
      <c r="Q54" s="75">
        <f t="shared" ref="Q54:Q77" si="52">IF(AND(E54&gt;=DATE(+$C$5,4,1), (E54&lt;=DATE(+$C$5,4,30))), +$C54,)</f>
        <v>0</v>
      </c>
      <c r="R54" s="78"/>
      <c r="S54" s="76">
        <f t="shared" ref="S54:S77" si="53">IF(AND(D54&gt;=DATE(+$C$5,5,1), (D54&lt;=DATE(+$C$5,5,31))), +$C54,)</f>
        <v>0</v>
      </c>
      <c r="T54" s="76">
        <f t="shared" ref="T54:T77" si="54">IF(AND(E54&gt;=DATE(+$C$5,5,1), (E54&lt;=DATE(+$C$5,5,31))), +$C54,)</f>
        <v>0</v>
      </c>
      <c r="U54" s="77"/>
      <c r="V54" s="82">
        <f t="shared" ref="V54:V77" si="55">IF(AND(D54&gt;=DATE(+$C$5,6,1), (D54&lt;=DATE(+$C$5,6,30))), +$C54,)</f>
        <v>0</v>
      </c>
      <c r="W54" s="82">
        <f t="shared" ref="W54:W77" si="56">IF(AND(E54&gt;=DATE(+$C$5,6,1), (E54&lt;=DATE(+$C$5,6,30))), +$C54,)</f>
        <v>0</v>
      </c>
      <c r="X54" s="78"/>
      <c r="Y54" s="76">
        <f t="shared" ref="Y54:Y77" si="57">IF(AND(D54&gt;=DATE(+$C$5,7,1), (D54&lt;=DATE(+$C$5,7,31))), +$C54,)</f>
        <v>0</v>
      </c>
      <c r="Z54" s="76">
        <f t="shared" ref="Z54:Z77" si="58">IF(AND(E54&gt;=DATE(+$C$5,7,1), (E54&lt;=DATE(+$C$5,7,31))), +$C54,)</f>
        <v>0</v>
      </c>
      <c r="AA54" s="77"/>
      <c r="AB54" s="75">
        <f t="shared" ref="AB54:AB77" si="59">IF(AND(D54&gt;=DATE(+$C$5,8,1), (D54&lt;=DATE(+$C$5,8,31))), +$C54,)</f>
        <v>0</v>
      </c>
      <c r="AC54" s="75">
        <f t="shared" ref="AC54:AC77" si="60">IF(AND(E54&gt;=DATE(+$C$5,8,1), (E54&lt;=DATE(+$C$5,8,31))), +$C54,)</f>
        <v>0</v>
      </c>
      <c r="AD54" s="78"/>
      <c r="AE54" s="76">
        <f t="shared" ref="AE54:AE77" si="61">IF(AND(D54&gt;=DATE(+$C$5,9,1), (D54&lt;=DATE(+$C$5,9,30))), +$C54,)</f>
        <v>0</v>
      </c>
      <c r="AF54" s="76">
        <f t="shared" ref="AF54:AF77" si="62">IF(AND(E54&gt;=DATE(+$C$5,9,1), (E54&lt;=DATE(+$C$5,9,30))), +$C54,)</f>
        <v>0</v>
      </c>
      <c r="AG54" s="77"/>
      <c r="AH54" s="75">
        <f t="shared" ref="AH54:AH77" si="63">IF(AND(D54&gt;=DATE(+$C$5,10,1), (D54&lt;=DATE(+$C$5,10,31))), +$C54,)</f>
        <v>0</v>
      </c>
      <c r="AI54" s="75">
        <f t="shared" ref="AI54:AI77" si="64">IF(AND(E54&gt;=DATE(+$C$5,10,1), (E54&lt;=DATE(+$C$5,10,31))), +$C54,)</f>
        <v>0</v>
      </c>
      <c r="AJ54" s="78"/>
      <c r="AK54" s="76">
        <f t="shared" ref="AK54:AK77" si="65">IF(AND(D54&gt;=DATE(+$C$5,11,1), (D54&lt;=DATE(+$C$5,11,30))), +$C54,)</f>
        <v>0</v>
      </c>
      <c r="AL54" s="76">
        <f t="shared" ref="AL54:AL77" si="66">IF(AND(E54&gt;=DATE(+$C$5,11,1), (E54&lt;=DATE(+$C$5,11,30))), +$C54,)</f>
        <v>0</v>
      </c>
      <c r="AM54" s="77"/>
      <c r="AN54" s="75">
        <f t="shared" ref="AN54:AN77" si="67">IF(AND(D54&gt;=DATE(+$C$5,12,1), (D54&lt;=DATE(+$C$5,12,31))), +$C54,)</f>
        <v>0</v>
      </c>
      <c r="AO54" s="75">
        <f t="shared" ref="AO54:AO77" si="68">IF(AND(E54&gt;=DATE(+$C$5,12,1), (E54&lt;=DATE(+$C$5,12,31))), +$C54,)</f>
        <v>0</v>
      </c>
      <c r="AP54" s="84"/>
    </row>
    <row r="55" spans="1:42" s="38" customFormat="1" x14ac:dyDescent="0.2">
      <c r="A55" s="33">
        <f>Inputs!C55</f>
        <v>0</v>
      </c>
      <c r="B55" s="151">
        <f>Inputs!B55</f>
        <v>0</v>
      </c>
      <c r="C55" s="34">
        <f>Inputs!J55</f>
        <v>0</v>
      </c>
      <c r="D55" s="35">
        <f>Inputs!D55</f>
        <v>0</v>
      </c>
      <c r="E55" s="35">
        <f>Inputs!F55</f>
        <v>0</v>
      </c>
      <c r="F55" s="37"/>
      <c r="G55" s="74">
        <f t="shared" si="46"/>
        <v>0</v>
      </c>
      <c r="H55" s="74">
        <f t="shared" si="47"/>
        <v>0</v>
      </c>
      <c r="I55" s="77"/>
      <c r="J55" s="75">
        <f t="shared" si="2"/>
        <v>0</v>
      </c>
      <c r="K55" s="75">
        <f t="shared" si="48"/>
        <v>0</v>
      </c>
      <c r="L55" s="78"/>
      <c r="M55" s="76">
        <f t="shared" si="49"/>
        <v>0</v>
      </c>
      <c r="N55" s="76">
        <f t="shared" si="50"/>
        <v>0</v>
      </c>
      <c r="O55" s="77"/>
      <c r="P55" s="75">
        <f t="shared" si="51"/>
        <v>0</v>
      </c>
      <c r="Q55" s="75">
        <f t="shared" si="52"/>
        <v>0</v>
      </c>
      <c r="R55" s="78"/>
      <c r="S55" s="76">
        <f t="shared" si="53"/>
        <v>0</v>
      </c>
      <c r="T55" s="76">
        <f t="shared" si="54"/>
        <v>0</v>
      </c>
      <c r="U55" s="77"/>
      <c r="V55" s="82">
        <f t="shared" si="55"/>
        <v>0</v>
      </c>
      <c r="W55" s="82">
        <f t="shared" si="56"/>
        <v>0</v>
      </c>
      <c r="X55" s="78"/>
      <c r="Y55" s="76">
        <f t="shared" si="57"/>
        <v>0</v>
      </c>
      <c r="Z55" s="76">
        <f t="shared" si="58"/>
        <v>0</v>
      </c>
      <c r="AA55" s="77"/>
      <c r="AB55" s="75">
        <f t="shared" si="59"/>
        <v>0</v>
      </c>
      <c r="AC55" s="75">
        <f t="shared" si="60"/>
        <v>0</v>
      </c>
      <c r="AD55" s="78"/>
      <c r="AE55" s="76">
        <f t="shared" si="61"/>
        <v>0</v>
      </c>
      <c r="AF55" s="76">
        <f t="shared" si="62"/>
        <v>0</v>
      </c>
      <c r="AG55" s="77"/>
      <c r="AH55" s="75">
        <f t="shared" si="63"/>
        <v>0</v>
      </c>
      <c r="AI55" s="75">
        <f t="shared" si="64"/>
        <v>0</v>
      </c>
      <c r="AJ55" s="78"/>
      <c r="AK55" s="76">
        <f t="shared" si="65"/>
        <v>0</v>
      </c>
      <c r="AL55" s="76">
        <f t="shared" si="66"/>
        <v>0</v>
      </c>
      <c r="AM55" s="77"/>
      <c r="AN55" s="75">
        <f t="shared" si="67"/>
        <v>0</v>
      </c>
      <c r="AO55" s="75">
        <f t="shared" si="68"/>
        <v>0</v>
      </c>
      <c r="AP55" s="84"/>
    </row>
    <row r="56" spans="1:42" s="38" customFormat="1" x14ac:dyDescent="0.2">
      <c r="A56" s="33">
        <f>Inputs!C56</f>
        <v>0</v>
      </c>
      <c r="B56" s="151">
        <f>Inputs!B56</f>
        <v>0</v>
      </c>
      <c r="C56" s="34">
        <f>Inputs!J56</f>
        <v>0</v>
      </c>
      <c r="D56" s="35">
        <f>Inputs!D56</f>
        <v>0</v>
      </c>
      <c r="E56" s="35">
        <f>Inputs!F56</f>
        <v>0</v>
      </c>
      <c r="F56" s="37"/>
      <c r="G56" s="74">
        <f t="shared" si="46"/>
        <v>0</v>
      </c>
      <c r="H56" s="74">
        <f t="shared" si="47"/>
        <v>0</v>
      </c>
      <c r="I56" s="77"/>
      <c r="J56" s="75">
        <f t="shared" si="2"/>
        <v>0</v>
      </c>
      <c r="K56" s="75">
        <f t="shared" si="48"/>
        <v>0</v>
      </c>
      <c r="L56" s="78"/>
      <c r="M56" s="76">
        <f t="shared" si="49"/>
        <v>0</v>
      </c>
      <c r="N56" s="76">
        <f t="shared" si="50"/>
        <v>0</v>
      </c>
      <c r="O56" s="77"/>
      <c r="P56" s="75">
        <f t="shared" si="51"/>
        <v>0</v>
      </c>
      <c r="Q56" s="75">
        <f t="shared" si="52"/>
        <v>0</v>
      </c>
      <c r="R56" s="78"/>
      <c r="S56" s="76">
        <f t="shared" si="53"/>
        <v>0</v>
      </c>
      <c r="T56" s="76">
        <f t="shared" si="54"/>
        <v>0</v>
      </c>
      <c r="U56" s="77"/>
      <c r="V56" s="82">
        <f t="shared" si="55"/>
        <v>0</v>
      </c>
      <c r="W56" s="82">
        <f t="shared" si="56"/>
        <v>0</v>
      </c>
      <c r="X56" s="78"/>
      <c r="Y56" s="76">
        <f t="shared" si="57"/>
        <v>0</v>
      </c>
      <c r="Z56" s="76">
        <f t="shared" si="58"/>
        <v>0</v>
      </c>
      <c r="AA56" s="77"/>
      <c r="AB56" s="75">
        <f t="shared" si="59"/>
        <v>0</v>
      </c>
      <c r="AC56" s="75">
        <f t="shared" si="60"/>
        <v>0</v>
      </c>
      <c r="AD56" s="78"/>
      <c r="AE56" s="76">
        <f t="shared" si="61"/>
        <v>0</v>
      </c>
      <c r="AF56" s="76">
        <f t="shared" si="62"/>
        <v>0</v>
      </c>
      <c r="AG56" s="77"/>
      <c r="AH56" s="75">
        <f t="shared" si="63"/>
        <v>0</v>
      </c>
      <c r="AI56" s="75">
        <f t="shared" si="64"/>
        <v>0</v>
      </c>
      <c r="AJ56" s="78"/>
      <c r="AK56" s="76">
        <f t="shared" si="65"/>
        <v>0</v>
      </c>
      <c r="AL56" s="76">
        <f t="shared" si="66"/>
        <v>0</v>
      </c>
      <c r="AM56" s="77"/>
      <c r="AN56" s="75">
        <f t="shared" si="67"/>
        <v>0</v>
      </c>
      <c r="AO56" s="75">
        <f t="shared" si="68"/>
        <v>0</v>
      </c>
      <c r="AP56" s="84"/>
    </row>
    <row r="57" spans="1:42" s="38" customFormat="1" x14ac:dyDescent="0.2">
      <c r="A57" s="33">
        <f>Inputs!C57</f>
        <v>0</v>
      </c>
      <c r="B57" s="151">
        <f>Inputs!B57</f>
        <v>0</v>
      </c>
      <c r="C57" s="34">
        <f>Inputs!J57</f>
        <v>0</v>
      </c>
      <c r="D57" s="35">
        <f>Inputs!D57</f>
        <v>0</v>
      </c>
      <c r="E57" s="35">
        <f>Inputs!F57</f>
        <v>0</v>
      </c>
      <c r="F57" s="37"/>
      <c r="G57" s="74">
        <f t="shared" si="46"/>
        <v>0</v>
      </c>
      <c r="H57" s="74">
        <f t="shared" si="47"/>
        <v>0</v>
      </c>
      <c r="I57" s="77"/>
      <c r="J57" s="75">
        <f t="shared" si="2"/>
        <v>0</v>
      </c>
      <c r="K57" s="75">
        <f t="shared" si="48"/>
        <v>0</v>
      </c>
      <c r="L57" s="78"/>
      <c r="M57" s="76">
        <f t="shared" si="49"/>
        <v>0</v>
      </c>
      <c r="N57" s="76">
        <f t="shared" si="50"/>
        <v>0</v>
      </c>
      <c r="O57" s="77"/>
      <c r="P57" s="75">
        <f t="shared" si="51"/>
        <v>0</v>
      </c>
      <c r="Q57" s="75">
        <f t="shared" si="52"/>
        <v>0</v>
      </c>
      <c r="R57" s="78"/>
      <c r="S57" s="76">
        <f t="shared" si="53"/>
        <v>0</v>
      </c>
      <c r="T57" s="76">
        <f t="shared" si="54"/>
        <v>0</v>
      </c>
      <c r="U57" s="77"/>
      <c r="V57" s="82">
        <f t="shared" si="55"/>
        <v>0</v>
      </c>
      <c r="W57" s="82">
        <f t="shared" si="56"/>
        <v>0</v>
      </c>
      <c r="X57" s="78"/>
      <c r="Y57" s="76">
        <f t="shared" si="57"/>
        <v>0</v>
      </c>
      <c r="Z57" s="76">
        <f t="shared" si="58"/>
        <v>0</v>
      </c>
      <c r="AA57" s="77"/>
      <c r="AB57" s="75">
        <f t="shared" si="59"/>
        <v>0</v>
      </c>
      <c r="AC57" s="75">
        <f t="shared" si="60"/>
        <v>0</v>
      </c>
      <c r="AD57" s="78"/>
      <c r="AE57" s="76">
        <f t="shared" si="61"/>
        <v>0</v>
      </c>
      <c r="AF57" s="76">
        <f t="shared" si="62"/>
        <v>0</v>
      </c>
      <c r="AG57" s="77"/>
      <c r="AH57" s="75">
        <f t="shared" si="63"/>
        <v>0</v>
      </c>
      <c r="AI57" s="75">
        <f t="shared" si="64"/>
        <v>0</v>
      </c>
      <c r="AJ57" s="78"/>
      <c r="AK57" s="76">
        <f t="shared" si="65"/>
        <v>0</v>
      </c>
      <c r="AL57" s="76">
        <f t="shared" si="66"/>
        <v>0</v>
      </c>
      <c r="AM57" s="77"/>
      <c r="AN57" s="75">
        <f t="shared" si="67"/>
        <v>0</v>
      </c>
      <c r="AO57" s="75">
        <f t="shared" si="68"/>
        <v>0</v>
      </c>
      <c r="AP57" s="84"/>
    </row>
    <row r="58" spans="1:42" s="38" customFormat="1" x14ac:dyDescent="0.2">
      <c r="A58" s="33">
        <f>Inputs!C58</f>
        <v>0</v>
      </c>
      <c r="B58" s="151">
        <f>Inputs!B58</f>
        <v>0</v>
      </c>
      <c r="C58" s="34">
        <f>Inputs!J58</f>
        <v>0</v>
      </c>
      <c r="D58" s="35">
        <f>Inputs!D58</f>
        <v>0</v>
      </c>
      <c r="E58" s="35">
        <f>Inputs!F58</f>
        <v>0</v>
      </c>
      <c r="F58" s="37"/>
      <c r="G58" s="74">
        <f t="shared" si="46"/>
        <v>0</v>
      </c>
      <c r="H58" s="74">
        <f t="shared" si="47"/>
        <v>0</v>
      </c>
      <c r="I58" s="77"/>
      <c r="J58" s="75">
        <f t="shared" si="2"/>
        <v>0</v>
      </c>
      <c r="K58" s="75">
        <f t="shared" si="48"/>
        <v>0</v>
      </c>
      <c r="L58" s="78"/>
      <c r="M58" s="76">
        <f t="shared" si="49"/>
        <v>0</v>
      </c>
      <c r="N58" s="76">
        <f t="shared" si="50"/>
        <v>0</v>
      </c>
      <c r="O58" s="77"/>
      <c r="P58" s="75">
        <f t="shared" si="51"/>
        <v>0</v>
      </c>
      <c r="Q58" s="75">
        <f t="shared" si="52"/>
        <v>0</v>
      </c>
      <c r="R58" s="78"/>
      <c r="S58" s="76">
        <f t="shared" si="53"/>
        <v>0</v>
      </c>
      <c r="T58" s="76">
        <f t="shared" si="54"/>
        <v>0</v>
      </c>
      <c r="U58" s="77"/>
      <c r="V58" s="82">
        <f t="shared" si="55"/>
        <v>0</v>
      </c>
      <c r="W58" s="82">
        <f t="shared" si="56"/>
        <v>0</v>
      </c>
      <c r="X58" s="78"/>
      <c r="Y58" s="76">
        <f t="shared" si="57"/>
        <v>0</v>
      </c>
      <c r="Z58" s="76">
        <f t="shared" si="58"/>
        <v>0</v>
      </c>
      <c r="AA58" s="77"/>
      <c r="AB58" s="75">
        <f t="shared" si="59"/>
        <v>0</v>
      </c>
      <c r="AC58" s="75">
        <f t="shared" si="60"/>
        <v>0</v>
      </c>
      <c r="AD58" s="78"/>
      <c r="AE58" s="76">
        <f t="shared" si="61"/>
        <v>0</v>
      </c>
      <c r="AF58" s="76">
        <f t="shared" si="62"/>
        <v>0</v>
      </c>
      <c r="AG58" s="77"/>
      <c r="AH58" s="75">
        <f t="shared" si="63"/>
        <v>0</v>
      </c>
      <c r="AI58" s="75">
        <f t="shared" si="64"/>
        <v>0</v>
      </c>
      <c r="AJ58" s="78"/>
      <c r="AK58" s="76">
        <f t="shared" si="65"/>
        <v>0</v>
      </c>
      <c r="AL58" s="76">
        <f t="shared" si="66"/>
        <v>0</v>
      </c>
      <c r="AM58" s="77"/>
      <c r="AN58" s="75">
        <f t="shared" si="67"/>
        <v>0</v>
      </c>
      <c r="AO58" s="75">
        <f t="shared" si="68"/>
        <v>0</v>
      </c>
      <c r="AP58" s="84"/>
    </row>
    <row r="59" spans="1:42" s="38" customFormat="1" x14ac:dyDescent="0.2">
      <c r="A59" s="33">
        <f>Inputs!C59</f>
        <v>0</v>
      </c>
      <c r="B59" s="151">
        <f>Inputs!B59</f>
        <v>0</v>
      </c>
      <c r="C59" s="34">
        <f>Inputs!J59</f>
        <v>0</v>
      </c>
      <c r="D59" s="35">
        <f>Inputs!D59</f>
        <v>0</v>
      </c>
      <c r="E59" s="35">
        <f>Inputs!F59</f>
        <v>0</v>
      </c>
      <c r="F59" s="37"/>
      <c r="G59" s="74">
        <f t="shared" si="46"/>
        <v>0</v>
      </c>
      <c r="H59" s="74">
        <f t="shared" si="47"/>
        <v>0</v>
      </c>
      <c r="I59" s="77"/>
      <c r="J59" s="75">
        <f t="shared" si="2"/>
        <v>0</v>
      </c>
      <c r="K59" s="75">
        <f t="shared" si="48"/>
        <v>0</v>
      </c>
      <c r="L59" s="78"/>
      <c r="M59" s="76">
        <f t="shared" si="49"/>
        <v>0</v>
      </c>
      <c r="N59" s="76">
        <f t="shared" si="50"/>
        <v>0</v>
      </c>
      <c r="O59" s="77"/>
      <c r="P59" s="75">
        <f t="shared" si="51"/>
        <v>0</v>
      </c>
      <c r="Q59" s="75">
        <f t="shared" si="52"/>
        <v>0</v>
      </c>
      <c r="R59" s="78"/>
      <c r="S59" s="76">
        <f t="shared" si="53"/>
        <v>0</v>
      </c>
      <c r="T59" s="76">
        <f t="shared" si="54"/>
        <v>0</v>
      </c>
      <c r="U59" s="77"/>
      <c r="V59" s="82">
        <f t="shared" si="55"/>
        <v>0</v>
      </c>
      <c r="W59" s="82">
        <f t="shared" si="56"/>
        <v>0</v>
      </c>
      <c r="X59" s="78"/>
      <c r="Y59" s="76">
        <f t="shared" si="57"/>
        <v>0</v>
      </c>
      <c r="Z59" s="76">
        <f t="shared" si="58"/>
        <v>0</v>
      </c>
      <c r="AA59" s="77"/>
      <c r="AB59" s="75">
        <f t="shared" si="59"/>
        <v>0</v>
      </c>
      <c r="AC59" s="75">
        <f t="shared" si="60"/>
        <v>0</v>
      </c>
      <c r="AD59" s="78"/>
      <c r="AE59" s="76">
        <f t="shared" si="61"/>
        <v>0</v>
      </c>
      <c r="AF59" s="76">
        <f t="shared" si="62"/>
        <v>0</v>
      </c>
      <c r="AG59" s="77"/>
      <c r="AH59" s="75">
        <f t="shared" si="63"/>
        <v>0</v>
      </c>
      <c r="AI59" s="75">
        <f t="shared" si="64"/>
        <v>0</v>
      </c>
      <c r="AJ59" s="78"/>
      <c r="AK59" s="76">
        <f t="shared" si="65"/>
        <v>0</v>
      </c>
      <c r="AL59" s="76">
        <f t="shared" si="66"/>
        <v>0</v>
      </c>
      <c r="AM59" s="77"/>
      <c r="AN59" s="75">
        <f t="shared" si="67"/>
        <v>0</v>
      </c>
      <c r="AO59" s="75">
        <f t="shared" si="68"/>
        <v>0</v>
      </c>
      <c r="AP59" s="84"/>
    </row>
    <row r="60" spans="1:42" s="38" customFormat="1" x14ac:dyDescent="0.2">
      <c r="A60" s="33">
        <f>Inputs!C60</f>
        <v>0</v>
      </c>
      <c r="B60" s="151">
        <f>Inputs!B60</f>
        <v>0</v>
      </c>
      <c r="C60" s="34">
        <f>Inputs!J60</f>
        <v>0</v>
      </c>
      <c r="D60" s="35">
        <f>Inputs!D60</f>
        <v>0</v>
      </c>
      <c r="E60" s="35">
        <f>Inputs!F60</f>
        <v>0</v>
      </c>
      <c r="F60" s="37"/>
      <c r="G60" s="74">
        <f t="shared" si="46"/>
        <v>0</v>
      </c>
      <c r="H60" s="74">
        <f t="shared" si="47"/>
        <v>0</v>
      </c>
      <c r="I60" s="77"/>
      <c r="J60" s="75">
        <f t="shared" si="2"/>
        <v>0</v>
      </c>
      <c r="K60" s="75">
        <f t="shared" si="48"/>
        <v>0</v>
      </c>
      <c r="L60" s="78"/>
      <c r="M60" s="76">
        <f t="shared" si="49"/>
        <v>0</v>
      </c>
      <c r="N60" s="76">
        <f t="shared" si="50"/>
        <v>0</v>
      </c>
      <c r="O60" s="77"/>
      <c r="P60" s="75">
        <f t="shared" si="51"/>
        <v>0</v>
      </c>
      <c r="Q60" s="75">
        <f t="shared" si="52"/>
        <v>0</v>
      </c>
      <c r="R60" s="78"/>
      <c r="S60" s="76">
        <f t="shared" si="53"/>
        <v>0</v>
      </c>
      <c r="T60" s="76">
        <f t="shared" si="54"/>
        <v>0</v>
      </c>
      <c r="U60" s="77"/>
      <c r="V60" s="82">
        <f t="shared" si="55"/>
        <v>0</v>
      </c>
      <c r="W60" s="82">
        <f t="shared" si="56"/>
        <v>0</v>
      </c>
      <c r="X60" s="78"/>
      <c r="Y60" s="76">
        <f t="shared" si="57"/>
        <v>0</v>
      </c>
      <c r="Z60" s="76">
        <f t="shared" si="58"/>
        <v>0</v>
      </c>
      <c r="AA60" s="77"/>
      <c r="AB60" s="75">
        <f t="shared" si="59"/>
        <v>0</v>
      </c>
      <c r="AC60" s="75">
        <f t="shared" si="60"/>
        <v>0</v>
      </c>
      <c r="AD60" s="78"/>
      <c r="AE60" s="76">
        <f t="shared" si="61"/>
        <v>0</v>
      </c>
      <c r="AF60" s="76">
        <f t="shared" si="62"/>
        <v>0</v>
      </c>
      <c r="AG60" s="77"/>
      <c r="AH60" s="75">
        <f t="shared" si="63"/>
        <v>0</v>
      </c>
      <c r="AI60" s="75">
        <f t="shared" si="64"/>
        <v>0</v>
      </c>
      <c r="AJ60" s="78"/>
      <c r="AK60" s="76">
        <f t="shared" si="65"/>
        <v>0</v>
      </c>
      <c r="AL60" s="76">
        <f t="shared" si="66"/>
        <v>0</v>
      </c>
      <c r="AM60" s="77"/>
      <c r="AN60" s="75">
        <f t="shared" si="67"/>
        <v>0</v>
      </c>
      <c r="AO60" s="75">
        <f t="shared" si="68"/>
        <v>0</v>
      </c>
      <c r="AP60" s="84"/>
    </row>
    <row r="61" spans="1:42" s="38" customFormat="1" x14ac:dyDescent="0.2">
      <c r="A61" s="33">
        <f>Inputs!C61</f>
        <v>0</v>
      </c>
      <c r="B61" s="151">
        <f>Inputs!B61</f>
        <v>0</v>
      </c>
      <c r="C61" s="34">
        <f>Inputs!J61</f>
        <v>0</v>
      </c>
      <c r="D61" s="35">
        <f>Inputs!D61</f>
        <v>0</v>
      </c>
      <c r="E61" s="35">
        <f>Inputs!F61</f>
        <v>0</v>
      </c>
      <c r="F61" s="37"/>
      <c r="G61" s="74">
        <f t="shared" si="46"/>
        <v>0</v>
      </c>
      <c r="H61" s="74">
        <f t="shared" si="47"/>
        <v>0</v>
      </c>
      <c r="I61" s="77"/>
      <c r="J61" s="75">
        <f t="shared" si="2"/>
        <v>0</v>
      </c>
      <c r="K61" s="75">
        <f t="shared" si="48"/>
        <v>0</v>
      </c>
      <c r="L61" s="78"/>
      <c r="M61" s="76">
        <f t="shared" si="49"/>
        <v>0</v>
      </c>
      <c r="N61" s="76">
        <f t="shared" si="50"/>
        <v>0</v>
      </c>
      <c r="O61" s="77"/>
      <c r="P61" s="75">
        <f t="shared" si="51"/>
        <v>0</v>
      </c>
      <c r="Q61" s="75">
        <f t="shared" si="52"/>
        <v>0</v>
      </c>
      <c r="R61" s="78"/>
      <c r="S61" s="76">
        <f t="shared" si="53"/>
        <v>0</v>
      </c>
      <c r="T61" s="76">
        <f t="shared" si="54"/>
        <v>0</v>
      </c>
      <c r="U61" s="77"/>
      <c r="V61" s="82">
        <f t="shared" si="55"/>
        <v>0</v>
      </c>
      <c r="W61" s="82">
        <f t="shared" si="56"/>
        <v>0</v>
      </c>
      <c r="X61" s="78"/>
      <c r="Y61" s="76">
        <f t="shared" si="57"/>
        <v>0</v>
      </c>
      <c r="Z61" s="76">
        <f t="shared" si="58"/>
        <v>0</v>
      </c>
      <c r="AA61" s="77"/>
      <c r="AB61" s="75">
        <f t="shared" si="59"/>
        <v>0</v>
      </c>
      <c r="AC61" s="75">
        <f t="shared" si="60"/>
        <v>0</v>
      </c>
      <c r="AD61" s="78"/>
      <c r="AE61" s="76">
        <f t="shared" si="61"/>
        <v>0</v>
      </c>
      <c r="AF61" s="76">
        <f t="shared" si="62"/>
        <v>0</v>
      </c>
      <c r="AG61" s="77"/>
      <c r="AH61" s="75">
        <f t="shared" si="63"/>
        <v>0</v>
      </c>
      <c r="AI61" s="75">
        <f t="shared" si="64"/>
        <v>0</v>
      </c>
      <c r="AJ61" s="78"/>
      <c r="AK61" s="76">
        <f t="shared" si="65"/>
        <v>0</v>
      </c>
      <c r="AL61" s="76">
        <f t="shared" si="66"/>
        <v>0</v>
      </c>
      <c r="AM61" s="77"/>
      <c r="AN61" s="75">
        <f t="shared" si="67"/>
        <v>0</v>
      </c>
      <c r="AO61" s="75">
        <f t="shared" si="68"/>
        <v>0</v>
      </c>
      <c r="AP61" s="84"/>
    </row>
    <row r="62" spans="1:42" s="38" customFormat="1" x14ac:dyDescent="0.2">
      <c r="A62" s="33">
        <f>Inputs!C62</f>
        <v>0</v>
      </c>
      <c r="B62" s="151">
        <f>Inputs!B62</f>
        <v>0</v>
      </c>
      <c r="C62" s="34">
        <f>Inputs!J62</f>
        <v>0</v>
      </c>
      <c r="D62" s="35">
        <f>Inputs!D62</f>
        <v>0</v>
      </c>
      <c r="E62" s="35">
        <f>Inputs!F62</f>
        <v>0</v>
      </c>
      <c r="F62" s="37"/>
      <c r="G62" s="74">
        <f t="shared" si="46"/>
        <v>0</v>
      </c>
      <c r="H62" s="74">
        <f t="shared" si="47"/>
        <v>0</v>
      </c>
      <c r="I62" s="77"/>
      <c r="J62" s="75">
        <f t="shared" si="2"/>
        <v>0</v>
      </c>
      <c r="K62" s="75">
        <f t="shared" si="48"/>
        <v>0</v>
      </c>
      <c r="L62" s="78"/>
      <c r="M62" s="76">
        <f t="shared" si="49"/>
        <v>0</v>
      </c>
      <c r="N62" s="76">
        <f t="shared" si="50"/>
        <v>0</v>
      </c>
      <c r="O62" s="77"/>
      <c r="P62" s="75">
        <f t="shared" si="51"/>
        <v>0</v>
      </c>
      <c r="Q62" s="75">
        <f t="shared" si="52"/>
        <v>0</v>
      </c>
      <c r="R62" s="78"/>
      <c r="S62" s="76">
        <f t="shared" si="53"/>
        <v>0</v>
      </c>
      <c r="T62" s="76">
        <f t="shared" si="54"/>
        <v>0</v>
      </c>
      <c r="U62" s="77"/>
      <c r="V62" s="82">
        <f t="shared" si="55"/>
        <v>0</v>
      </c>
      <c r="W62" s="82">
        <f t="shared" si="56"/>
        <v>0</v>
      </c>
      <c r="X62" s="78"/>
      <c r="Y62" s="76">
        <f t="shared" si="57"/>
        <v>0</v>
      </c>
      <c r="Z62" s="76">
        <f t="shared" si="58"/>
        <v>0</v>
      </c>
      <c r="AA62" s="77"/>
      <c r="AB62" s="75">
        <f t="shared" si="59"/>
        <v>0</v>
      </c>
      <c r="AC62" s="75">
        <f t="shared" si="60"/>
        <v>0</v>
      </c>
      <c r="AD62" s="78"/>
      <c r="AE62" s="76">
        <f t="shared" si="61"/>
        <v>0</v>
      </c>
      <c r="AF62" s="76">
        <f t="shared" si="62"/>
        <v>0</v>
      </c>
      <c r="AG62" s="77"/>
      <c r="AH62" s="75">
        <f t="shared" si="63"/>
        <v>0</v>
      </c>
      <c r="AI62" s="75">
        <f t="shared" si="64"/>
        <v>0</v>
      </c>
      <c r="AJ62" s="78"/>
      <c r="AK62" s="76">
        <f t="shared" si="65"/>
        <v>0</v>
      </c>
      <c r="AL62" s="76">
        <f t="shared" si="66"/>
        <v>0</v>
      </c>
      <c r="AM62" s="77"/>
      <c r="AN62" s="75">
        <f t="shared" si="67"/>
        <v>0</v>
      </c>
      <c r="AO62" s="75">
        <f t="shared" si="68"/>
        <v>0</v>
      </c>
      <c r="AP62" s="84"/>
    </row>
    <row r="63" spans="1:42" s="38" customFormat="1" x14ac:dyDescent="0.2">
      <c r="A63" s="33">
        <f>Inputs!C63</f>
        <v>0</v>
      </c>
      <c r="B63" s="151">
        <f>Inputs!B63</f>
        <v>0</v>
      </c>
      <c r="C63" s="34">
        <f>Inputs!J63</f>
        <v>0</v>
      </c>
      <c r="D63" s="35">
        <f>Inputs!D63</f>
        <v>0</v>
      </c>
      <c r="E63" s="35">
        <f>Inputs!F63</f>
        <v>0</v>
      </c>
      <c r="F63" s="37"/>
      <c r="G63" s="74">
        <f t="shared" si="46"/>
        <v>0</v>
      </c>
      <c r="H63" s="74">
        <f t="shared" si="47"/>
        <v>0</v>
      </c>
      <c r="I63" s="77"/>
      <c r="J63" s="75">
        <f t="shared" si="2"/>
        <v>0</v>
      </c>
      <c r="K63" s="75">
        <f t="shared" si="48"/>
        <v>0</v>
      </c>
      <c r="L63" s="78"/>
      <c r="M63" s="76">
        <f t="shared" si="49"/>
        <v>0</v>
      </c>
      <c r="N63" s="76">
        <f t="shared" si="50"/>
        <v>0</v>
      </c>
      <c r="O63" s="77"/>
      <c r="P63" s="75">
        <f t="shared" si="51"/>
        <v>0</v>
      </c>
      <c r="Q63" s="75">
        <f t="shared" si="52"/>
        <v>0</v>
      </c>
      <c r="R63" s="78"/>
      <c r="S63" s="76">
        <f t="shared" si="53"/>
        <v>0</v>
      </c>
      <c r="T63" s="76">
        <f t="shared" si="54"/>
        <v>0</v>
      </c>
      <c r="U63" s="77"/>
      <c r="V63" s="82">
        <f t="shared" si="55"/>
        <v>0</v>
      </c>
      <c r="W63" s="82">
        <f t="shared" si="56"/>
        <v>0</v>
      </c>
      <c r="X63" s="78"/>
      <c r="Y63" s="76">
        <f t="shared" si="57"/>
        <v>0</v>
      </c>
      <c r="Z63" s="76">
        <f t="shared" si="58"/>
        <v>0</v>
      </c>
      <c r="AA63" s="77"/>
      <c r="AB63" s="75">
        <f t="shared" si="59"/>
        <v>0</v>
      </c>
      <c r="AC63" s="75">
        <f t="shared" si="60"/>
        <v>0</v>
      </c>
      <c r="AD63" s="78"/>
      <c r="AE63" s="76">
        <f t="shared" si="61"/>
        <v>0</v>
      </c>
      <c r="AF63" s="76">
        <f t="shared" si="62"/>
        <v>0</v>
      </c>
      <c r="AG63" s="77"/>
      <c r="AH63" s="75">
        <f t="shared" si="63"/>
        <v>0</v>
      </c>
      <c r="AI63" s="75">
        <f t="shared" si="64"/>
        <v>0</v>
      </c>
      <c r="AJ63" s="78"/>
      <c r="AK63" s="76">
        <f t="shared" si="65"/>
        <v>0</v>
      </c>
      <c r="AL63" s="76">
        <f t="shared" si="66"/>
        <v>0</v>
      </c>
      <c r="AM63" s="77"/>
      <c r="AN63" s="75">
        <f t="shared" si="67"/>
        <v>0</v>
      </c>
      <c r="AO63" s="75">
        <f t="shared" si="68"/>
        <v>0</v>
      </c>
      <c r="AP63" s="84"/>
    </row>
    <row r="64" spans="1:42" s="38" customFormat="1" x14ac:dyDescent="0.2">
      <c r="A64" s="33">
        <f>Inputs!C64</f>
        <v>0</v>
      </c>
      <c r="B64" s="151">
        <f>Inputs!B64</f>
        <v>0</v>
      </c>
      <c r="C64" s="34">
        <f>Inputs!J64</f>
        <v>0</v>
      </c>
      <c r="D64" s="35">
        <f>Inputs!D64</f>
        <v>0</v>
      </c>
      <c r="E64" s="35">
        <f>Inputs!F64</f>
        <v>0</v>
      </c>
      <c r="F64" s="37"/>
      <c r="G64" s="74">
        <f t="shared" si="46"/>
        <v>0</v>
      </c>
      <c r="H64" s="74">
        <f t="shared" si="47"/>
        <v>0</v>
      </c>
      <c r="I64" s="77"/>
      <c r="J64" s="75">
        <f t="shared" si="2"/>
        <v>0</v>
      </c>
      <c r="K64" s="75">
        <f t="shared" si="48"/>
        <v>0</v>
      </c>
      <c r="L64" s="78"/>
      <c r="M64" s="76">
        <f t="shared" si="49"/>
        <v>0</v>
      </c>
      <c r="N64" s="76">
        <f t="shared" si="50"/>
        <v>0</v>
      </c>
      <c r="O64" s="77"/>
      <c r="P64" s="75">
        <f t="shared" si="51"/>
        <v>0</v>
      </c>
      <c r="Q64" s="75">
        <f t="shared" si="52"/>
        <v>0</v>
      </c>
      <c r="R64" s="78"/>
      <c r="S64" s="76">
        <f t="shared" si="53"/>
        <v>0</v>
      </c>
      <c r="T64" s="76">
        <f t="shared" si="54"/>
        <v>0</v>
      </c>
      <c r="U64" s="77"/>
      <c r="V64" s="82">
        <f t="shared" si="55"/>
        <v>0</v>
      </c>
      <c r="W64" s="82">
        <f t="shared" si="56"/>
        <v>0</v>
      </c>
      <c r="X64" s="78"/>
      <c r="Y64" s="76">
        <f t="shared" si="57"/>
        <v>0</v>
      </c>
      <c r="Z64" s="76">
        <f t="shared" si="58"/>
        <v>0</v>
      </c>
      <c r="AA64" s="77"/>
      <c r="AB64" s="75">
        <f t="shared" si="59"/>
        <v>0</v>
      </c>
      <c r="AC64" s="75">
        <f t="shared" si="60"/>
        <v>0</v>
      </c>
      <c r="AD64" s="78"/>
      <c r="AE64" s="76">
        <f t="shared" si="61"/>
        <v>0</v>
      </c>
      <c r="AF64" s="76">
        <f t="shared" si="62"/>
        <v>0</v>
      </c>
      <c r="AG64" s="77"/>
      <c r="AH64" s="75">
        <f t="shared" si="63"/>
        <v>0</v>
      </c>
      <c r="AI64" s="75">
        <f t="shared" si="64"/>
        <v>0</v>
      </c>
      <c r="AJ64" s="78"/>
      <c r="AK64" s="76">
        <f t="shared" si="65"/>
        <v>0</v>
      </c>
      <c r="AL64" s="76">
        <f t="shared" si="66"/>
        <v>0</v>
      </c>
      <c r="AM64" s="77"/>
      <c r="AN64" s="75">
        <f t="shared" si="67"/>
        <v>0</v>
      </c>
      <c r="AO64" s="75">
        <f t="shared" si="68"/>
        <v>0</v>
      </c>
      <c r="AP64" s="84"/>
    </row>
    <row r="65" spans="1:42" s="38" customFormat="1" x14ac:dyDescent="0.2">
      <c r="A65" s="33">
        <f>Inputs!C65</f>
        <v>0</v>
      </c>
      <c r="B65" s="151">
        <f>Inputs!B65</f>
        <v>0</v>
      </c>
      <c r="C65" s="34">
        <f>Inputs!J65</f>
        <v>0</v>
      </c>
      <c r="D65" s="35">
        <f>Inputs!D65</f>
        <v>0</v>
      </c>
      <c r="E65" s="35">
        <f>Inputs!F65</f>
        <v>0</v>
      </c>
      <c r="F65" s="37"/>
      <c r="G65" s="74">
        <f t="shared" si="46"/>
        <v>0</v>
      </c>
      <c r="H65" s="74">
        <f t="shared" si="47"/>
        <v>0</v>
      </c>
      <c r="I65" s="77"/>
      <c r="J65" s="75">
        <f t="shared" si="2"/>
        <v>0</v>
      </c>
      <c r="K65" s="75">
        <f t="shared" si="48"/>
        <v>0</v>
      </c>
      <c r="L65" s="78"/>
      <c r="M65" s="76">
        <f t="shared" si="49"/>
        <v>0</v>
      </c>
      <c r="N65" s="76">
        <f t="shared" si="50"/>
        <v>0</v>
      </c>
      <c r="O65" s="77"/>
      <c r="P65" s="75">
        <f t="shared" si="51"/>
        <v>0</v>
      </c>
      <c r="Q65" s="75">
        <f t="shared" si="52"/>
        <v>0</v>
      </c>
      <c r="R65" s="78"/>
      <c r="S65" s="76">
        <f t="shared" si="53"/>
        <v>0</v>
      </c>
      <c r="T65" s="76">
        <f t="shared" si="54"/>
        <v>0</v>
      </c>
      <c r="U65" s="77"/>
      <c r="V65" s="82">
        <f t="shared" si="55"/>
        <v>0</v>
      </c>
      <c r="W65" s="82">
        <f t="shared" si="56"/>
        <v>0</v>
      </c>
      <c r="X65" s="78"/>
      <c r="Y65" s="76">
        <f t="shared" si="57"/>
        <v>0</v>
      </c>
      <c r="Z65" s="76">
        <f t="shared" si="58"/>
        <v>0</v>
      </c>
      <c r="AA65" s="77"/>
      <c r="AB65" s="75">
        <f t="shared" si="59"/>
        <v>0</v>
      </c>
      <c r="AC65" s="75">
        <f t="shared" si="60"/>
        <v>0</v>
      </c>
      <c r="AD65" s="78"/>
      <c r="AE65" s="76">
        <f t="shared" si="61"/>
        <v>0</v>
      </c>
      <c r="AF65" s="76">
        <f t="shared" si="62"/>
        <v>0</v>
      </c>
      <c r="AG65" s="77"/>
      <c r="AH65" s="75">
        <f t="shared" si="63"/>
        <v>0</v>
      </c>
      <c r="AI65" s="75">
        <f t="shared" si="64"/>
        <v>0</v>
      </c>
      <c r="AJ65" s="78"/>
      <c r="AK65" s="76">
        <f t="shared" si="65"/>
        <v>0</v>
      </c>
      <c r="AL65" s="76">
        <f t="shared" si="66"/>
        <v>0</v>
      </c>
      <c r="AM65" s="77"/>
      <c r="AN65" s="75">
        <f t="shared" si="67"/>
        <v>0</v>
      </c>
      <c r="AO65" s="75">
        <f t="shared" si="68"/>
        <v>0</v>
      </c>
      <c r="AP65" s="84"/>
    </row>
    <row r="66" spans="1:42" s="38" customFormat="1" x14ac:dyDescent="0.2">
      <c r="A66" s="33">
        <f>Inputs!C66</f>
        <v>0</v>
      </c>
      <c r="B66" s="151">
        <f>Inputs!B66</f>
        <v>0</v>
      </c>
      <c r="C66" s="34">
        <f>Inputs!J66</f>
        <v>0</v>
      </c>
      <c r="D66" s="35">
        <f>Inputs!D66</f>
        <v>0</v>
      </c>
      <c r="E66" s="35">
        <f>Inputs!F66</f>
        <v>0</v>
      </c>
      <c r="F66" s="37"/>
      <c r="G66" s="74">
        <f t="shared" si="46"/>
        <v>0</v>
      </c>
      <c r="H66" s="74">
        <f t="shared" si="47"/>
        <v>0</v>
      </c>
      <c r="I66" s="77"/>
      <c r="J66" s="75">
        <f t="shared" si="2"/>
        <v>0</v>
      </c>
      <c r="K66" s="75">
        <f t="shared" si="48"/>
        <v>0</v>
      </c>
      <c r="L66" s="78"/>
      <c r="M66" s="76">
        <f t="shared" si="49"/>
        <v>0</v>
      </c>
      <c r="N66" s="76">
        <f t="shared" si="50"/>
        <v>0</v>
      </c>
      <c r="O66" s="77"/>
      <c r="P66" s="75">
        <f t="shared" si="51"/>
        <v>0</v>
      </c>
      <c r="Q66" s="75">
        <f t="shared" si="52"/>
        <v>0</v>
      </c>
      <c r="R66" s="78"/>
      <c r="S66" s="76">
        <f t="shared" si="53"/>
        <v>0</v>
      </c>
      <c r="T66" s="76">
        <f t="shared" si="54"/>
        <v>0</v>
      </c>
      <c r="U66" s="77"/>
      <c r="V66" s="82">
        <f t="shared" si="55"/>
        <v>0</v>
      </c>
      <c r="W66" s="82">
        <f t="shared" si="56"/>
        <v>0</v>
      </c>
      <c r="X66" s="78"/>
      <c r="Y66" s="76">
        <f t="shared" si="57"/>
        <v>0</v>
      </c>
      <c r="Z66" s="76">
        <f t="shared" si="58"/>
        <v>0</v>
      </c>
      <c r="AA66" s="77"/>
      <c r="AB66" s="75">
        <f t="shared" si="59"/>
        <v>0</v>
      </c>
      <c r="AC66" s="75">
        <f t="shared" si="60"/>
        <v>0</v>
      </c>
      <c r="AD66" s="78"/>
      <c r="AE66" s="76">
        <f t="shared" si="61"/>
        <v>0</v>
      </c>
      <c r="AF66" s="76">
        <f t="shared" si="62"/>
        <v>0</v>
      </c>
      <c r="AG66" s="77"/>
      <c r="AH66" s="75">
        <f t="shared" si="63"/>
        <v>0</v>
      </c>
      <c r="AI66" s="75">
        <f t="shared" si="64"/>
        <v>0</v>
      </c>
      <c r="AJ66" s="78"/>
      <c r="AK66" s="76">
        <f t="shared" si="65"/>
        <v>0</v>
      </c>
      <c r="AL66" s="76">
        <f t="shared" si="66"/>
        <v>0</v>
      </c>
      <c r="AM66" s="77"/>
      <c r="AN66" s="75">
        <f t="shared" si="67"/>
        <v>0</v>
      </c>
      <c r="AO66" s="75">
        <f t="shared" si="68"/>
        <v>0</v>
      </c>
      <c r="AP66" s="84"/>
    </row>
    <row r="67" spans="1:42" s="38" customFormat="1" x14ac:dyDescent="0.2">
      <c r="A67" s="33">
        <f>Inputs!C67</f>
        <v>0</v>
      </c>
      <c r="B67" s="151">
        <f>Inputs!B67</f>
        <v>0</v>
      </c>
      <c r="C67" s="34">
        <f>Inputs!J67</f>
        <v>0</v>
      </c>
      <c r="D67" s="35">
        <f>Inputs!D67</f>
        <v>0</v>
      </c>
      <c r="E67" s="35">
        <f>Inputs!F67</f>
        <v>0</v>
      </c>
      <c r="F67" s="37"/>
      <c r="G67" s="74">
        <f t="shared" si="46"/>
        <v>0</v>
      </c>
      <c r="H67" s="74">
        <f t="shared" si="47"/>
        <v>0</v>
      </c>
      <c r="I67" s="77"/>
      <c r="J67" s="75">
        <f t="shared" si="2"/>
        <v>0</v>
      </c>
      <c r="K67" s="75">
        <f t="shared" si="48"/>
        <v>0</v>
      </c>
      <c r="L67" s="78"/>
      <c r="M67" s="76">
        <f t="shared" si="49"/>
        <v>0</v>
      </c>
      <c r="N67" s="76">
        <f t="shared" si="50"/>
        <v>0</v>
      </c>
      <c r="O67" s="77"/>
      <c r="P67" s="75">
        <f t="shared" si="51"/>
        <v>0</v>
      </c>
      <c r="Q67" s="75">
        <f t="shared" si="52"/>
        <v>0</v>
      </c>
      <c r="R67" s="78"/>
      <c r="S67" s="76">
        <f t="shared" si="53"/>
        <v>0</v>
      </c>
      <c r="T67" s="76">
        <f t="shared" si="54"/>
        <v>0</v>
      </c>
      <c r="U67" s="77"/>
      <c r="V67" s="82">
        <f t="shared" si="55"/>
        <v>0</v>
      </c>
      <c r="W67" s="82">
        <f t="shared" si="56"/>
        <v>0</v>
      </c>
      <c r="X67" s="78"/>
      <c r="Y67" s="76">
        <f t="shared" si="57"/>
        <v>0</v>
      </c>
      <c r="Z67" s="76">
        <f t="shared" si="58"/>
        <v>0</v>
      </c>
      <c r="AA67" s="77"/>
      <c r="AB67" s="75">
        <f t="shared" si="59"/>
        <v>0</v>
      </c>
      <c r="AC67" s="75">
        <f t="shared" si="60"/>
        <v>0</v>
      </c>
      <c r="AD67" s="78"/>
      <c r="AE67" s="76">
        <f t="shared" si="61"/>
        <v>0</v>
      </c>
      <c r="AF67" s="76">
        <f t="shared" si="62"/>
        <v>0</v>
      </c>
      <c r="AG67" s="77"/>
      <c r="AH67" s="75">
        <f t="shared" si="63"/>
        <v>0</v>
      </c>
      <c r="AI67" s="75">
        <f t="shared" si="64"/>
        <v>0</v>
      </c>
      <c r="AJ67" s="78"/>
      <c r="AK67" s="76">
        <f t="shared" si="65"/>
        <v>0</v>
      </c>
      <c r="AL67" s="76">
        <f t="shared" si="66"/>
        <v>0</v>
      </c>
      <c r="AM67" s="77"/>
      <c r="AN67" s="75">
        <f t="shared" si="67"/>
        <v>0</v>
      </c>
      <c r="AO67" s="75">
        <f t="shared" si="68"/>
        <v>0</v>
      </c>
      <c r="AP67" s="84"/>
    </row>
    <row r="68" spans="1:42" s="38" customFormat="1" x14ac:dyDescent="0.2">
      <c r="A68" s="33">
        <f>Inputs!C68</f>
        <v>0</v>
      </c>
      <c r="B68" s="151">
        <f>Inputs!B68</f>
        <v>0</v>
      </c>
      <c r="C68" s="34">
        <f>Inputs!J68</f>
        <v>0</v>
      </c>
      <c r="D68" s="35">
        <f>Inputs!D68</f>
        <v>0</v>
      </c>
      <c r="E68" s="35">
        <f>Inputs!F68</f>
        <v>0</v>
      </c>
      <c r="F68" s="37"/>
      <c r="G68" s="74">
        <f t="shared" si="46"/>
        <v>0</v>
      </c>
      <c r="H68" s="74">
        <f t="shared" si="47"/>
        <v>0</v>
      </c>
      <c r="I68" s="77"/>
      <c r="J68" s="75">
        <f t="shared" si="2"/>
        <v>0</v>
      </c>
      <c r="K68" s="75">
        <f t="shared" si="48"/>
        <v>0</v>
      </c>
      <c r="L68" s="78"/>
      <c r="M68" s="76">
        <f t="shared" si="49"/>
        <v>0</v>
      </c>
      <c r="N68" s="76">
        <f t="shared" si="50"/>
        <v>0</v>
      </c>
      <c r="O68" s="77"/>
      <c r="P68" s="75">
        <f t="shared" si="51"/>
        <v>0</v>
      </c>
      <c r="Q68" s="75">
        <f t="shared" si="52"/>
        <v>0</v>
      </c>
      <c r="R68" s="78"/>
      <c r="S68" s="76">
        <f t="shared" si="53"/>
        <v>0</v>
      </c>
      <c r="T68" s="76">
        <f t="shared" si="54"/>
        <v>0</v>
      </c>
      <c r="U68" s="77"/>
      <c r="V68" s="82">
        <f t="shared" si="55"/>
        <v>0</v>
      </c>
      <c r="W68" s="82">
        <f t="shared" si="56"/>
        <v>0</v>
      </c>
      <c r="X68" s="78"/>
      <c r="Y68" s="76">
        <f t="shared" si="57"/>
        <v>0</v>
      </c>
      <c r="Z68" s="76">
        <f t="shared" si="58"/>
        <v>0</v>
      </c>
      <c r="AA68" s="77"/>
      <c r="AB68" s="75">
        <f t="shared" si="59"/>
        <v>0</v>
      </c>
      <c r="AC68" s="75">
        <f t="shared" si="60"/>
        <v>0</v>
      </c>
      <c r="AD68" s="78"/>
      <c r="AE68" s="76">
        <f t="shared" si="61"/>
        <v>0</v>
      </c>
      <c r="AF68" s="76">
        <f t="shared" si="62"/>
        <v>0</v>
      </c>
      <c r="AG68" s="77"/>
      <c r="AH68" s="75">
        <f t="shared" si="63"/>
        <v>0</v>
      </c>
      <c r="AI68" s="75">
        <f t="shared" si="64"/>
        <v>0</v>
      </c>
      <c r="AJ68" s="78"/>
      <c r="AK68" s="76">
        <f t="shared" si="65"/>
        <v>0</v>
      </c>
      <c r="AL68" s="76">
        <f t="shared" si="66"/>
        <v>0</v>
      </c>
      <c r="AM68" s="77"/>
      <c r="AN68" s="75">
        <f t="shared" si="67"/>
        <v>0</v>
      </c>
      <c r="AO68" s="75">
        <f t="shared" si="68"/>
        <v>0</v>
      </c>
      <c r="AP68" s="84"/>
    </row>
    <row r="69" spans="1:42" s="38" customFormat="1" x14ac:dyDescent="0.2">
      <c r="A69" s="33">
        <f>Inputs!C69</f>
        <v>0</v>
      </c>
      <c r="B69" s="151">
        <f>Inputs!B69</f>
        <v>0</v>
      </c>
      <c r="C69" s="34">
        <f>Inputs!J69</f>
        <v>0</v>
      </c>
      <c r="D69" s="35">
        <f>Inputs!D69</f>
        <v>0</v>
      </c>
      <c r="E69" s="35">
        <f>Inputs!F69</f>
        <v>0</v>
      </c>
      <c r="F69" s="37"/>
      <c r="G69" s="74">
        <f t="shared" si="46"/>
        <v>0</v>
      </c>
      <c r="H69" s="74">
        <f t="shared" si="47"/>
        <v>0</v>
      </c>
      <c r="I69" s="77"/>
      <c r="J69" s="75">
        <f t="shared" si="2"/>
        <v>0</v>
      </c>
      <c r="K69" s="75">
        <f t="shared" si="48"/>
        <v>0</v>
      </c>
      <c r="L69" s="78"/>
      <c r="M69" s="76">
        <f t="shared" si="49"/>
        <v>0</v>
      </c>
      <c r="N69" s="76">
        <f t="shared" si="50"/>
        <v>0</v>
      </c>
      <c r="O69" s="77"/>
      <c r="P69" s="75">
        <f t="shared" si="51"/>
        <v>0</v>
      </c>
      <c r="Q69" s="75">
        <f t="shared" si="52"/>
        <v>0</v>
      </c>
      <c r="R69" s="78"/>
      <c r="S69" s="76">
        <f t="shared" si="53"/>
        <v>0</v>
      </c>
      <c r="T69" s="76">
        <f t="shared" si="54"/>
        <v>0</v>
      </c>
      <c r="U69" s="77"/>
      <c r="V69" s="82">
        <f t="shared" si="55"/>
        <v>0</v>
      </c>
      <c r="W69" s="82">
        <f t="shared" si="56"/>
        <v>0</v>
      </c>
      <c r="X69" s="78"/>
      <c r="Y69" s="76">
        <f t="shared" si="57"/>
        <v>0</v>
      </c>
      <c r="Z69" s="76">
        <f t="shared" si="58"/>
        <v>0</v>
      </c>
      <c r="AA69" s="77"/>
      <c r="AB69" s="75">
        <f t="shared" si="59"/>
        <v>0</v>
      </c>
      <c r="AC69" s="75">
        <f t="shared" si="60"/>
        <v>0</v>
      </c>
      <c r="AD69" s="78"/>
      <c r="AE69" s="76">
        <f t="shared" si="61"/>
        <v>0</v>
      </c>
      <c r="AF69" s="76">
        <f t="shared" si="62"/>
        <v>0</v>
      </c>
      <c r="AG69" s="77"/>
      <c r="AH69" s="75">
        <f t="shared" si="63"/>
        <v>0</v>
      </c>
      <c r="AI69" s="75">
        <f t="shared" si="64"/>
        <v>0</v>
      </c>
      <c r="AJ69" s="78"/>
      <c r="AK69" s="76">
        <f t="shared" si="65"/>
        <v>0</v>
      </c>
      <c r="AL69" s="76">
        <f t="shared" si="66"/>
        <v>0</v>
      </c>
      <c r="AM69" s="77"/>
      <c r="AN69" s="75">
        <f t="shared" si="67"/>
        <v>0</v>
      </c>
      <c r="AO69" s="75">
        <f t="shared" si="68"/>
        <v>0</v>
      </c>
      <c r="AP69" s="84"/>
    </row>
    <row r="70" spans="1:42" s="38" customFormat="1" x14ac:dyDescent="0.2">
      <c r="A70" s="33">
        <f>Inputs!C70</f>
        <v>0</v>
      </c>
      <c r="B70" s="151">
        <f>Inputs!B70</f>
        <v>0</v>
      </c>
      <c r="C70" s="34">
        <f>Inputs!J70</f>
        <v>0</v>
      </c>
      <c r="D70" s="35">
        <f>Inputs!D70</f>
        <v>0</v>
      </c>
      <c r="E70" s="35">
        <f>Inputs!F70</f>
        <v>0</v>
      </c>
      <c r="F70" s="37"/>
      <c r="G70" s="74">
        <f t="shared" si="46"/>
        <v>0</v>
      </c>
      <c r="H70" s="74">
        <f t="shared" si="47"/>
        <v>0</v>
      </c>
      <c r="I70" s="77"/>
      <c r="J70" s="75">
        <f t="shared" si="2"/>
        <v>0</v>
      </c>
      <c r="K70" s="75">
        <f t="shared" si="48"/>
        <v>0</v>
      </c>
      <c r="L70" s="78"/>
      <c r="M70" s="76">
        <f t="shared" si="49"/>
        <v>0</v>
      </c>
      <c r="N70" s="76">
        <f t="shared" si="50"/>
        <v>0</v>
      </c>
      <c r="O70" s="77"/>
      <c r="P70" s="75">
        <f t="shared" si="51"/>
        <v>0</v>
      </c>
      <c r="Q70" s="75">
        <f t="shared" si="52"/>
        <v>0</v>
      </c>
      <c r="R70" s="78"/>
      <c r="S70" s="76">
        <f t="shared" si="53"/>
        <v>0</v>
      </c>
      <c r="T70" s="76">
        <f t="shared" si="54"/>
        <v>0</v>
      </c>
      <c r="U70" s="77"/>
      <c r="V70" s="82">
        <f t="shared" si="55"/>
        <v>0</v>
      </c>
      <c r="W70" s="82">
        <f t="shared" si="56"/>
        <v>0</v>
      </c>
      <c r="X70" s="78"/>
      <c r="Y70" s="76">
        <f t="shared" si="57"/>
        <v>0</v>
      </c>
      <c r="Z70" s="76">
        <f t="shared" si="58"/>
        <v>0</v>
      </c>
      <c r="AA70" s="77"/>
      <c r="AB70" s="75">
        <f t="shared" si="59"/>
        <v>0</v>
      </c>
      <c r="AC70" s="75">
        <f t="shared" si="60"/>
        <v>0</v>
      </c>
      <c r="AD70" s="78"/>
      <c r="AE70" s="76">
        <f t="shared" si="61"/>
        <v>0</v>
      </c>
      <c r="AF70" s="76">
        <f t="shared" si="62"/>
        <v>0</v>
      </c>
      <c r="AG70" s="77"/>
      <c r="AH70" s="75">
        <f t="shared" si="63"/>
        <v>0</v>
      </c>
      <c r="AI70" s="75">
        <f t="shared" si="64"/>
        <v>0</v>
      </c>
      <c r="AJ70" s="78"/>
      <c r="AK70" s="76">
        <f t="shared" si="65"/>
        <v>0</v>
      </c>
      <c r="AL70" s="76">
        <f t="shared" si="66"/>
        <v>0</v>
      </c>
      <c r="AM70" s="77"/>
      <c r="AN70" s="75">
        <f t="shared" si="67"/>
        <v>0</v>
      </c>
      <c r="AO70" s="75">
        <f t="shared" si="68"/>
        <v>0</v>
      </c>
      <c r="AP70" s="84"/>
    </row>
    <row r="71" spans="1:42" s="38" customFormat="1" x14ac:dyDescent="0.2">
      <c r="A71" s="33">
        <f>Inputs!C71</f>
        <v>0</v>
      </c>
      <c r="B71" s="151">
        <f>Inputs!B71</f>
        <v>0</v>
      </c>
      <c r="C71" s="34">
        <f>Inputs!J71</f>
        <v>0</v>
      </c>
      <c r="D71" s="35">
        <f>Inputs!D71</f>
        <v>0</v>
      </c>
      <c r="E71" s="35">
        <f>Inputs!F71</f>
        <v>0</v>
      </c>
      <c r="F71" s="37"/>
      <c r="G71" s="74">
        <f t="shared" si="46"/>
        <v>0</v>
      </c>
      <c r="H71" s="74">
        <f t="shared" si="47"/>
        <v>0</v>
      </c>
      <c r="I71" s="77"/>
      <c r="J71" s="75">
        <f t="shared" si="2"/>
        <v>0</v>
      </c>
      <c r="K71" s="75">
        <f t="shared" si="48"/>
        <v>0</v>
      </c>
      <c r="L71" s="78"/>
      <c r="M71" s="76">
        <f t="shared" si="49"/>
        <v>0</v>
      </c>
      <c r="N71" s="76">
        <f t="shared" si="50"/>
        <v>0</v>
      </c>
      <c r="O71" s="77"/>
      <c r="P71" s="75">
        <f t="shared" si="51"/>
        <v>0</v>
      </c>
      <c r="Q71" s="75">
        <f t="shared" si="52"/>
        <v>0</v>
      </c>
      <c r="R71" s="78"/>
      <c r="S71" s="76">
        <f t="shared" si="53"/>
        <v>0</v>
      </c>
      <c r="T71" s="76">
        <f t="shared" si="54"/>
        <v>0</v>
      </c>
      <c r="U71" s="77"/>
      <c r="V71" s="82">
        <f t="shared" si="55"/>
        <v>0</v>
      </c>
      <c r="W71" s="82">
        <f t="shared" si="56"/>
        <v>0</v>
      </c>
      <c r="X71" s="78"/>
      <c r="Y71" s="76">
        <f t="shared" si="57"/>
        <v>0</v>
      </c>
      <c r="Z71" s="76">
        <f t="shared" si="58"/>
        <v>0</v>
      </c>
      <c r="AA71" s="77"/>
      <c r="AB71" s="75">
        <f t="shared" si="59"/>
        <v>0</v>
      </c>
      <c r="AC71" s="75">
        <f t="shared" si="60"/>
        <v>0</v>
      </c>
      <c r="AD71" s="78"/>
      <c r="AE71" s="76">
        <f t="shared" si="61"/>
        <v>0</v>
      </c>
      <c r="AF71" s="76">
        <f t="shared" si="62"/>
        <v>0</v>
      </c>
      <c r="AG71" s="77"/>
      <c r="AH71" s="75">
        <f t="shared" si="63"/>
        <v>0</v>
      </c>
      <c r="AI71" s="75">
        <f t="shared" si="64"/>
        <v>0</v>
      </c>
      <c r="AJ71" s="78"/>
      <c r="AK71" s="76">
        <f t="shared" si="65"/>
        <v>0</v>
      </c>
      <c r="AL71" s="76">
        <f t="shared" si="66"/>
        <v>0</v>
      </c>
      <c r="AM71" s="77"/>
      <c r="AN71" s="75">
        <f t="shared" si="67"/>
        <v>0</v>
      </c>
      <c r="AO71" s="75">
        <f t="shared" si="68"/>
        <v>0</v>
      </c>
      <c r="AP71" s="84"/>
    </row>
    <row r="72" spans="1:42" s="38" customFormat="1" x14ac:dyDescent="0.2">
      <c r="A72" s="33">
        <f>Inputs!C72</f>
        <v>0</v>
      </c>
      <c r="B72" s="151">
        <f>Inputs!B72</f>
        <v>0</v>
      </c>
      <c r="C72" s="34">
        <f>Inputs!J72</f>
        <v>0</v>
      </c>
      <c r="D72" s="35">
        <f>Inputs!D72</f>
        <v>0</v>
      </c>
      <c r="E72" s="35">
        <f>Inputs!F72</f>
        <v>0</v>
      </c>
      <c r="F72" s="37"/>
      <c r="G72" s="74">
        <f t="shared" si="46"/>
        <v>0</v>
      </c>
      <c r="H72" s="74">
        <f t="shared" si="47"/>
        <v>0</v>
      </c>
      <c r="I72" s="77"/>
      <c r="J72" s="75">
        <f t="shared" si="2"/>
        <v>0</v>
      </c>
      <c r="K72" s="75">
        <f t="shared" si="48"/>
        <v>0</v>
      </c>
      <c r="L72" s="78"/>
      <c r="M72" s="76">
        <f t="shared" si="49"/>
        <v>0</v>
      </c>
      <c r="N72" s="76">
        <f t="shared" si="50"/>
        <v>0</v>
      </c>
      <c r="O72" s="77"/>
      <c r="P72" s="75">
        <f t="shared" si="51"/>
        <v>0</v>
      </c>
      <c r="Q72" s="75">
        <f t="shared" si="52"/>
        <v>0</v>
      </c>
      <c r="R72" s="78"/>
      <c r="S72" s="76">
        <f t="shared" si="53"/>
        <v>0</v>
      </c>
      <c r="T72" s="76">
        <f t="shared" si="54"/>
        <v>0</v>
      </c>
      <c r="U72" s="77"/>
      <c r="V72" s="82">
        <f t="shared" si="55"/>
        <v>0</v>
      </c>
      <c r="W72" s="82">
        <f t="shared" si="56"/>
        <v>0</v>
      </c>
      <c r="X72" s="78"/>
      <c r="Y72" s="76">
        <f t="shared" si="57"/>
        <v>0</v>
      </c>
      <c r="Z72" s="76">
        <f t="shared" si="58"/>
        <v>0</v>
      </c>
      <c r="AA72" s="77"/>
      <c r="AB72" s="75">
        <f t="shared" si="59"/>
        <v>0</v>
      </c>
      <c r="AC72" s="75">
        <f t="shared" si="60"/>
        <v>0</v>
      </c>
      <c r="AD72" s="78"/>
      <c r="AE72" s="76">
        <f t="shared" si="61"/>
        <v>0</v>
      </c>
      <c r="AF72" s="76">
        <f t="shared" si="62"/>
        <v>0</v>
      </c>
      <c r="AG72" s="77"/>
      <c r="AH72" s="75">
        <f t="shared" si="63"/>
        <v>0</v>
      </c>
      <c r="AI72" s="75">
        <f t="shared" si="64"/>
        <v>0</v>
      </c>
      <c r="AJ72" s="78"/>
      <c r="AK72" s="76">
        <f t="shared" si="65"/>
        <v>0</v>
      </c>
      <c r="AL72" s="76">
        <f t="shared" si="66"/>
        <v>0</v>
      </c>
      <c r="AM72" s="77"/>
      <c r="AN72" s="75">
        <f t="shared" si="67"/>
        <v>0</v>
      </c>
      <c r="AO72" s="75">
        <f t="shared" si="68"/>
        <v>0</v>
      </c>
      <c r="AP72" s="84"/>
    </row>
    <row r="73" spans="1:42" s="38" customFormat="1" x14ac:dyDescent="0.2">
      <c r="A73" s="33">
        <f>Inputs!C73</f>
        <v>0</v>
      </c>
      <c r="B73" s="151">
        <f>Inputs!B73</f>
        <v>0</v>
      </c>
      <c r="C73" s="34">
        <f>Inputs!J73</f>
        <v>0</v>
      </c>
      <c r="D73" s="35">
        <f>Inputs!D73</f>
        <v>0</v>
      </c>
      <c r="E73" s="35">
        <f>Inputs!F73</f>
        <v>0</v>
      </c>
      <c r="F73" s="37"/>
      <c r="G73" s="74">
        <f t="shared" si="46"/>
        <v>0</v>
      </c>
      <c r="H73" s="74">
        <f t="shared" si="47"/>
        <v>0</v>
      </c>
      <c r="I73" s="77"/>
      <c r="J73" s="75">
        <f t="shared" si="2"/>
        <v>0</v>
      </c>
      <c r="K73" s="75">
        <f t="shared" si="48"/>
        <v>0</v>
      </c>
      <c r="L73" s="78"/>
      <c r="M73" s="76">
        <f t="shared" si="49"/>
        <v>0</v>
      </c>
      <c r="N73" s="76">
        <f t="shared" si="50"/>
        <v>0</v>
      </c>
      <c r="O73" s="77"/>
      <c r="P73" s="75">
        <f t="shared" si="51"/>
        <v>0</v>
      </c>
      <c r="Q73" s="75">
        <f t="shared" si="52"/>
        <v>0</v>
      </c>
      <c r="R73" s="78"/>
      <c r="S73" s="76">
        <f t="shared" si="53"/>
        <v>0</v>
      </c>
      <c r="T73" s="76">
        <f t="shared" si="54"/>
        <v>0</v>
      </c>
      <c r="U73" s="77"/>
      <c r="V73" s="82">
        <f t="shared" si="55"/>
        <v>0</v>
      </c>
      <c r="W73" s="82">
        <f t="shared" si="56"/>
        <v>0</v>
      </c>
      <c r="X73" s="78"/>
      <c r="Y73" s="76">
        <f t="shared" si="57"/>
        <v>0</v>
      </c>
      <c r="Z73" s="76">
        <f t="shared" si="58"/>
        <v>0</v>
      </c>
      <c r="AA73" s="77"/>
      <c r="AB73" s="75">
        <f t="shared" si="59"/>
        <v>0</v>
      </c>
      <c r="AC73" s="75">
        <f t="shared" si="60"/>
        <v>0</v>
      </c>
      <c r="AD73" s="78"/>
      <c r="AE73" s="76">
        <f t="shared" si="61"/>
        <v>0</v>
      </c>
      <c r="AF73" s="76">
        <f t="shared" si="62"/>
        <v>0</v>
      </c>
      <c r="AG73" s="77"/>
      <c r="AH73" s="75">
        <f t="shared" si="63"/>
        <v>0</v>
      </c>
      <c r="AI73" s="75">
        <f t="shared" si="64"/>
        <v>0</v>
      </c>
      <c r="AJ73" s="78"/>
      <c r="AK73" s="76">
        <f t="shared" si="65"/>
        <v>0</v>
      </c>
      <c r="AL73" s="76">
        <f t="shared" si="66"/>
        <v>0</v>
      </c>
      <c r="AM73" s="77"/>
      <c r="AN73" s="75">
        <f t="shared" si="67"/>
        <v>0</v>
      </c>
      <c r="AO73" s="75">
        <f t="shared" si="68"/>
        <v>0</v>
      </c>
      <c r="AP73" s="84"/>
    </row>
    <row r="74" spans="1:42" s="38" customFormat="1" x14ac:dyDescent="0.2">
      <c r="A74" s="33">
        <f>Inputs!C74</f>
        <v>0</v>
      </c>
      <c r="B74" s="151">
        <f>Inputs!B74</f>
        <v>0</v>
      </c>
      <c r="C74" s="34">
        <f>Inputs!J74</f>
        <v>0</v>
      </c>
      <c r="D74" s="35">
        <f>Inputs!D74</f>
        <v>0</v>
      </c>
      <c r="E74" s="35">
        <f>Inputs!F74</f>
        <v>0</v>
      </c>
      <c r="F74" s="37"/>
      <c r="G74" s="74">
        <f t="shared" si="46"/>
        <v>0</v>
      </c>
      <c r="H74" s="74">
        <f t="shared" si="47"/>
        <v>0</v>
      </c>
      <c r="I74" s="77"/>
      <c r="J74" s="75">
        <f t="shared" si="2"/>
        <v>0</v>
      </c>
      <c r="K74" s="75">
        <f t="shared" si="48"/>
        <v>0</v>
      </c>
      <c r="L74" s="78"/>
      <c r="M74" s="76">
        <f t="shared" si="49"/>
        <v>0</v>
      </c>
      <c r="N74" s="76">
        <f t="shared" si="50"/>
        <v>0</v>
      </c>
      <c r="O74" s="77"/>
      <c r="P74" s="75">
        <f t="shared" si="51"/>
        <v>0</v>
      </c>
      <c r="Q74" s="75">
        <f t="shared" si="52"/>
        <v>0</v>
      </c>
      <c r="R74" s="78"/>
      <c r="S74" s="76">
        <f t="shared" si="53"/>
        <v>0</v>
      </c>
      <c r="T74" s="76">
        <f t="shared" si="54"/>
        <v>0</v>
      </c>
      <c r="U74" s="77"/>
      <c r="V74" s="82">
        <f t="shared" si="55"/>
        <v>0</v>
      </c>
      <c r="W74" s="82">
        <f t="shared" si="56"/>
        <v>0</v>
      </c>
      <c r="X74" s="78"/>
      <c r="Y74" s="76">
        <f t="shared" si="57"/>
        <v>0</v>
      </c>
      <c r="Z74" s="76">
        <f t="shared" si="58"/>
        <v>0</v>
      </c>
      <c r="AA74" s="77"/>
      <c r="AB74" s="75">
        <f t="shared" si="59"/>
        <v>0</v>
      </c>
      <c r="AC74" s="75">
        <f t="shared" si="60"/>
        <v>0</v>
      </c>
      <c r="AD74" s="78"/>
      <c r="AE74" s="76">
        <f t="shared" si="61"/>
        <v>0</v>
      </c>
      <c r="AF74" s="76">
        <f t="shared" si="62"/>
        <v>0</v>
      </c>
      <c r="AG74" s="77"/>
      <c r="AH74" s="75">
        <f t="shared" si="63"/>
        <v>0</v>
      </c>
      <c r="AI74" s="75">
        <f t="shared" si="64"/>
        <v>0</v>
      </c>
      <c r="AJ74" s="78"/>
      <c r="AK74" s="76">
        <f t="shared" si="65"/>
        <v>0</v>
      </c>
      <c r="AL74" s="76">
        <f t="shared" si="66"/>
        <v>0</v>
      </c>
      <c r="AM74" s="77"/>
      <c r="AN74" s="75">
        <f t="shared" si="67"/>
        <v>0</v>
      </c>
      <c r="AO74" s="75">
        <f t="shared" si="68"/>
        <v>0</v>
      </c>
      <c r="AP74" s="84"/>
    </row>
    <row r="75" spans="1:42" s="38" customFormat="1" x14ac:dyDescent="0.2">
      <c r="A75" s="33">
        <f>Inputs!C75</f>
        <v>0</v>
      </c>
      <c r="B75" s="151">
        <f>Inputs!B75</f>
        <v>0</v>
      </c>
      <c r="C75" s="34">
        <f>Inputs!J75</f>
        <v>0</v>
      </c>
      <c r="D75" s="35">
        <f>Inputs!D75</f>
        <v>0</v>
      </c>
      <c r="E75" s="35">
        <f>Inputs!F75</f>
        <v>0</v>
      </c>
      <c r="F75" s="37"/>
      <c r="G75" s="74">
        <f t="shared" si="46"/>
        <v>0</v>
      </c>
      <c r="H75" s="74">
        <f t="shared" si="47"/>
        <v>0</v>
      </c>
      <c r="I75" s="77"/>
      <c r="J75" s="75">
        <f t="shared" si="2"/>
        <v>0</v>
      </c>
      <c r="K75" s="75">
        <f t="shared" si="48"/>
        <v>0</v>
      </c>
      <c r="L75" s="78"/>
      <c r="M75" s="76">
        <f t="shared" si="49"/>
        <v>0</v>
      </c>
      <c r="N75" s="76">
        <f t="shared" si="50"/>
        <v>0</v>
      </c>
      <c r="O75" s="77"/>
      <c r="P75" s="75">
        <f t="shared" si="51"/>
        <v>0</v>
      </c>
      <c r="Q75" s="75">
        <f t="shared" si="52"/>
        <v>0</v>
      </c>
      <c r="R75" s="78"/>
      <c r="S75" s="76">
        <f t="shared" si="53"/>
        <v>0</v>
      </c>
      <c r="T75" s="76">
        <f t="shared" si="54"/>
        <v>0</v>
      </c>
      <c r="U75" s="77"/>
      <c r="V75" s="82">
        <f t="shared" si="55"/>
        <v>0</v>
      </c>
      <c r="W75" s="82">
        <f t="shared" si="56"/>
        <v>0</v>
      </c>
      <c r="X75" s="78"/>
      <c r="Y75" s="76">
        <f t="shared" si="57"/>
        <v>0</v>
      </c>
      <c r="Z75" s="76">
        <f t="shared" si="58"/>
        <v>0</v>
      </c>
      <c r="AA75" s="77"/>
      <c r="AB75" s="75">
        <f t="shared" si="59"/>
        <v>0</v>
      </c>
      <c r="AC75" s="75">
        <f t="shared" si="60"/>
        <v>0</v>
      </c>
      <c r="AD75" s="78"/>
      <c r="AE75" s="76">
        <f t="shared" si="61"/>
        <v>0</v>
      </c>
      <c r="AF75" s="76">
        <f t="shared" si="62"/>
        <v>0</v>
      </c>
      <c r="AG75" s="77"/>
      <c r="AH75" s="75">
        <f t="shared" si="63"/>
        <v>0</v>
      </c>
      <c r="AI75" s="75">
        <f t="shared" si="64"/>
        <v>0</v>
      </c>
      <c r="AJ75" s="78"/>
      <c r="AK75" s="76">
        <f t="shared" si="65"/>
        <v>0</v>
      </c>
      <c r="AL75" s="76">
        <f t="shared" si="66"/>
        <v>0</v>
      </c>
      <c r="AM75" s="77"/>
      <c r="AN75" s="75">
        <f t="shared" si="67"/>
        <v>0</v>
      </c>
      <c r="AO75" s="75">
        <f t="shared" si="68"/>
        <v>0</v>
      </c>
      <c r="AP75" s="84"/>
    </row>
    <row r="76" spans="1:42" s="38" customFormat="1" x14ac:dyDescent="0.2">
      <c r="A76" s="33">
        <f>Inputs!C76</f>
        <v>0</v>
      </c>
      <c r="B76" s="151">
        <f>Inputs!B76</f>
        <v>0</v>
      </c>
      <c r="C76" s="34">
        <f>Inputs!J76</f>
        <v>0</v>
      </c>
      <c r="D76" s="35">
        <f>Inputs!D76</f>
        <v>0</v>
      </c>
      <c r="E76" s="35">
        <f>Inputs!F76</f>
        <v>0</v>
      </c>
      <c r="F76" s="37"/>
      <c r="G76" s="74">
        <f t="shared" si="46"/>
        <v>0</v>
      </c>
      <c r="H76" s="74">
        <f t="shared" si="47"/>
        <v>0</v>
      </c>
      <c r="I76" s="77"/>
      <c r="J76" s="75">
        <f>IF(AND(D76&gt;=DATE(+$C$5,2,1), (D76&lt;=DATE(+$C$5,2,28))), +$C76,)</f>
        <v>0</v>
      </c>
      <c r="K76" s="75">
        <f t="shared" si="48"/>
        <v>0</v>
      </c>
      <c r="L76" s="78"/>
      <c r="M76" s="76">
        <f t="shared" si="49"/>
        <v>0</v>
      </c>
      <c r="N76" s="76">
        <f t="shared" si="50"/>
        <v>0</v>
      </c>
      <c r="O76" s="77"/>
      <c r="P76" s="75">
        <f t="shared" si="51"/>
        <v>0</v>
      </c>
      <c r="Q76" s="75">
        <f t="shared" si="52"/>
        <v>0</v>
      </c>
      <c r="R76" s="78"/>
      <c r="S76" s="76">
        <f t="shared" si="53"/>
        <v>0</v>
      </c>
      <c r="T76" s="76">
        <f t="shared" si="54"/>
        <v>0</v>
      </c>
      <c r="U76" s="77"/>
      <c r="V76" s="82">
        <f t="shared" si="55"/>
        <v>0</v>
      </c>
      <c r="W76" s="82">
        <f t="shared" si="56"/>
        <v>0</v>
      </c>
      <c r="X76" s="78"/>
      <c r="Y76" s="76">
        <f t="shared" si="57"/>
        <v>0</v>
      </c>
      <c r="Z76" s="76">
        <f t="shared" si="58"/>
        <v>0</v>
      </c>
      <c r="AA76" s="77"/>
      <c r="AB76" s="75">
        <f t="shared" si="59"/>
        <v>0</v>
      </c>
      <c r="AC76" s="75">
        <f t="shared" si="60"/>
        <v>0</v>
      </c>
      <c r="AD76" s="78"/>
      <c r="AE76" s="76">
        <f t="shared" si="61"/>
        <v>0</v>
      </c>
      <c r="AF76" s="76">
        <f t="shared" si="62"/>
        <v>0</v>
      </c>
      <c r="AG76" s="77"/>
      <c r="AH76" s="75">
        <f t="shared" si="63"/>
        <v>0</v>
      </c>
      <c r="AI76" s="75">
        <f t="shared" si="64"/>
        <v>0</v>
      </c>
      <c r="AJ76" s="78"/>
      <c r="AK76" s="76">
        <f t="shared" si="65"/>
        <v>0</v>
      </c>
      <c r="AL76" s="76">
        <f t="shared" si="66"/>
        <v>0</v>
      </c>
      <c r="AM76" s="77"/>
      <c r="AN76" s="75">
        <f t="shared" si="67"/>
        <v>0</v>
      </c>
      <c r="AO76" s="75">
        <f t="shared" si="68"/>
        <v>0</v>
      </c>
      <c r="AP76" s="84"/>
    </row>
    <row r="77" spans="1:42" s="38" customFormat="1" x14ac:dyDescent="0.2">
      <c r="A77" s="33">
        <f>Inputs!C77</f>
        <v>0</v>
      </c>
      <c r="B77" s="151">
        <f>Inputs!B77</f>
        <v>0</v>
      </c>
      <c r="C77" s="34">
        <f>Inputs!J77</f>
        <v>0</v>
      </c>
      <c r="D77" s="35">
        <f>Inputs!D77</f>
        <v>0</v>
      </c>
      <c r="E77" s="35">
        <f>Inputs!F77</f>
        <v>0</v>
      </c>
      <c r="F77" s="37"/>
      <c r="G77" s="74">
        <f t="shared" si="46"/>
        <v>0</v>
      </c>
      <c r="H77" s="74">
        <f t="shared" si="47"/>
        <v>0</v>
      </c>
      <c r="I77" s="77"/>
      <c r="J77" s="75">
        <f>IF(AND(D77&gt;=DATE(+$C$5,2,1), (D77&lt;=DATE(+$C$5,2,28))), +$C77,)</f>
        <v>0</v>
      </c>
      <c r="K77" s="75">
        <f t="shared" si="48"/>
        <v>0</v>
      </c>
      <c r="L77" s="78"/>
      <c r="M77" s="76">
        <f t="shared" si="49"/>
        <v>0</v>
      </c>
      <c r="N77" s="76">
        <f t="shared" si="50"/>
        <v>0</v>
      </c>
      <c r="O77" s="77"/>
      <c r="P77" s="75">
        <f t="shared" si="51"/>
        <v>0</v>
      </c>
      <c r="Q77" s="75">
        <f t="shared" si="52"/>
        <v>0</v>
      </c>
      <c r="R77" s="78"/>
      <c r="S77" s="76">
        <f t="shared" si="53"/>
        <v>0</v>
      </c>
      <c r="T77" s="76">
        <f t="shared" si="54"/>
        <v>0</v>
      </c>
      <c r="U77" s="77"/>
      <c r="V77" s="82">
        <f t="shared" si="55"/>
        <v>0</v>
      </c>
      <c r="W77" s="82">
        <f t="shared" si="56"/>
        <v>0</v>
      </c>
      <c r="X77" s="78"/>
      <c r="Y77" s="76">
        <f t="shared" si="57"/>
        <v>0</v>
      </c>
      <c r="Z77" s="76">
        <f t="shared" si="58"/>
        <v>0</v>
      </c>
      <c r="AA77" s="77"/>
      <c r="AB77" s="75">
        <f t="shared" si="59"/>
        <v>0</v>
      </c>
      <c r="AC77" s="75">
        <f t="shared" si="60"/>
        <v>0</v>
      </c>
      <c r="AD77" s="78"/>
      <c r="AE77" s="76">
        <f t="shared" si="61"/>
        <v>0</v>
      </c>
      <c r="AF77" s="76">
        <f t="shared" si="62"/>
        <v>0</v>
      </c>
      <c r="AG77" s="77"/>
      <c r="AH77" s="75">
        <f t="shared" si="63"/>
        <v>0</v>
      </c>
      <c r="AI77" s="75">
        <f t="shared" si="64"/>
        <v>0</v>
      </c>
      <c r="AJ77" s="78"/>
      <c r="AK77" s="76">
        <f t="shared" si="65"/>
        <v>0</v>
      </c>
      <c r="AL77" s="76">
        <f t="shared" si="66"/>
        <v>0</v>
      </c>
      <c r="AM77" s="77"/>
      <c r="AN77" s="75">
        <f t="shared" si="67"/>
        <v>0</v>
      </c>
      <c r="AO77" s="75">
        <f t="shared" si="68"/>
        <v>0</v>
      </c>
      <c r="AP77" s="84"/>
    </row>
    <row r="78" spans="1:42" x14ac:dyDescent="0.2">
      <c r="A78" s="41" t="s">
        <v>73</v>
      </c>
      <c r="B78" s="13"/>
      <c r="C78" s="39"/>
      <c r="E78" s="40" t="s">
        <v>14</v>
      </c>
      <c r="F78" s="41" t="s">
        <v>73</v>
      </c>
      <c r="G78" s="66">
        <f>SUM(G15:G77)</f>
        <v>14625</v>
      </c>
      <c r="H78" s="66">
        <f>SUM(H15:H77)</f>
        <v>14625</v>
      </c>
      <c r="I78" s="66"/>
      <c r="J78" s="67">
        <f>SUM(J15:J77)</f>
        <v>8425</v>
      </c>
      <c r="K78" s="67">
        <f>SUM(K15:K77)</f>
        <v>8425</v>
      </c>
      <c r="L78" s="67"/>
      <c r="M78" s="66">
        <f>SUM(M15:M77)</f>
        <v>20718.75</v>
      </c>
      <c r="N78" s="66">
        <f>SUM(N15:N77)</f>
        <v>0</v>
      </c>
      <c r="O78" s="66"/>
      <c r="P78" s="67">
        <f>SUM(P15:P77)</f>
        <v>0</v>
      </c>
      <c r="Q78" s="67">
        <f>SUM(Q15:Q77)</f>
        <v>0</v>
      </c>
      <c r="R78" s="67"/>
      <c r="S78" s="66">
        <f>SUM(S15:S77)</f>
        <v>43937.5</v>
      </c>
      <c r="T78" s="66">
        <f>SUM(T15:T77)</f>
        <v>20718.75</v>
      </c>
      <c r="U78" s="66"/>
      <c r="V78" s="67">
        <f>SUM(V15:V77)</f>
        <v>9500</v>
      </c>
      <c r="W78" s="67">
        <f>SUM(W15:W77)</f>
        <v>0</v>
      </c>
      <c r="X78" s="72"/>
      <c r="Y78" s="66">
        <f>SUM(Y15:Y77)</f>
        <v>0</v>
      </c>
      <c r="Z78" s="66">
        <f>SUM(Z15:Z77)</f>
        <v>0</v>
      </c>
      <c r="AA78" s="66"/>
      <c r="AB78" s="67">
        <f>SUM(AB15:AB77)</f>
        <v>0</v>
      </c>
      <c r="AC78" s="67">
        <f>SUM(AC15:AC77)</f>
        <v>0</v>
      </c>
      <c r="AD78" s="67"/>
      <c r="AE78" s="66">
        <f>SUM(AE15:AE77)</f>
        <v>0</v>
      </c>
      <c r="AF78" s="66">
        <f>SUM(AF15:AF77)</f>
        <v>0</v>
      </c>
      <c r="AG78" s="66"/>
      <c r="AH78" s="67">
        <f>SUM(AH15:AH77)</f>
        <v>0</v>
      </c>
      <c r="AI78" s="67">
        <f>SUM(AI15:AI77)</f>
        <v>0</v>
      </c>
      <c r="AJ78" s="67"/>
      <c r="AK78" s="66">
        <f>SUM(AK15:AK77)</f>
        <v>0</v>
      </c>
      <c r="AL78" s="66">
        <f>SUM(AL15:AL77)</f>
        <v>0</v>
      </c>
      <c r="AM78" s="66"/>
      <c r="AN78" s="67">
        <f>SUM(AN15:AN77)</f>
        <v>0</v>
      </c>
      <c r="AO78" s="67">
        <f>SUM(AO15:AO77)</f>
        <v>0</v>
      </c>
      <c r="AP78" s="67"/>
    </row>
    <row r="79" spans="1:42" x14ac:dyDescent="0.2">
      <c r="A79" s="41" t="s">
        <v>74</v>
      </c>
      <c r="F79" s="41" t="s">
        <v>75</v>
      </c>
      <c r="G79" s="52">
        <v>0</v>
      </c>
      <c r="H79" s="52">
        <v>0</v>
      </c>
      <c r="I79" s="52"/>
      <c r="J79" s="43">
        <f>G81</f>
        <v>14625</v>
      </c>
      <c r="K79" s="43">
        <f>+H81</f>
        <v>14625</v>
      </c>
      <c r="L79" s="43"/>
      <c r="M79" s="54">
        <f>+J81</f>
        <v>23050</v>
      </c>
      <c r="N79" s="54">
        <f>+K81</f>
        <v>23050</v>
      </c>
      <c r="O79" s="53"/>
      <c r="P79" s="43">
        <f>+M81</f>
        <v>43768.75</v>
      </c>
      <c r="Q79" s="43">
        <f>+N81</f>
        <v>23050</v>
      </c>
      <c r="R79" s="43"/>
      <c r="S79" s="52">
        <f>+P81</f>
        <v>43768.75</v>
      </c>
      <c r="T79" s="52">
        <f>+Q81</f>
        <v>23050</v>
      </c>
      <c r="U79" s="53"/>
      <c r="V79" s="43">
        <f>+S81</f>
        <v>87706.25</v>
      </c>
      <c r="W79" s="43">
        <f>+T81</f>
        <v>43768.75</v>
      </c>
      <c r="X79" s="43"/>
      <c r="Y79" s="52">
        <f>+V81</f>
        <v>97206.25</v>
      </c>
      <c r="Z79" s="52">
        <f>+W81</f>
        <v>43768.75</v>
      </c>
      <c r="AA79" s="52"/>
      <c r="AB79" s="43">
        <f>+Y81</f>
        <v>97206.25</v>
      </c>
      <c r="AC79" s="43">
        <f>+Z81</f>
        <v>43768.75</v>
      </c>
      <c r="AD79" s="58"/>
      <c r="AE79" s="52">
        <f>+AB81</f>
        <v>97206.25</v>
      </c>
      <c r="AF79" s="52">
        <f>+AC81</f>
        <v>43768.75</v>
      </c>
      <c r="AG79" s="53"/>
      <c r="AH79" s="43">
        <f>+AE81</f>
        <v>97206.25</v>
      </c>
      <c r="AI79" s="43">
        <f>+AF81</f>
        <v>43768.75</v>
      </c>
      <c r="AJ79" s="58"/>
      <c r="AK79" s="52">
        <f>+AH81</f>
        <v>97206.25</v>
      </c>
      <c r="AL79" s="52">
        <f>+AI81</f>
        <v>43768.75</v>
      </c>
      <c r="AM79" s="53"/>
      <c r="AN79" s="43">
        <f>+AK81</f>
        <v>97206.25</v>
      </c>
      <c r="AO79" s="43">
        <f>+AL81</f>
        <v>43768.75</v>
      </c>
      <c r="AP79" s="58"/>
    </row>
    <row r="80" spans="1:42" x14ac:dyDescent="0.2">
      <c r="A80" s="41"/>
      <c r="F80" s="41"/>
      <c r="G80" s="54"/>
      <c r="H80" s="54"/>
      <c r="I80" s="53"/>
      <c r="J80" s="44"/>
      <c r="K80" s="44"/>
      <c r="L80" s="58"/>
      <c r="M80" s="54"/>
      <c r="N80" s="54"/>
      <c r="O80" s="53"/>
      <c r="P80" s="44"/>
      <c r="Q80" s="44"/>
      <c r="R80" s="58"/>
      <c r="S80" s="54"/>
      <c r="T80" s="62"/>
      <c r="U80" s="53"/>
      <c r="V80" s="44"/>
      <c r="W80" s="44"/>
      <c r="X80" s="44"/>
      <c r="Y80" s="54"/>
      <c r="Z80" s="54"/>
      <c r="AA80" s="54"/>
      <c r="AB80" s="44"/>
      <c r="AC80" s="44"/>
      <c r="AD80" s="58"/>
      <c r="AE80" s="54"/>
      <c r="AF80" s="54"/>
      <c r="AG80" s="53"/>
      <c r="AH80" s="44"/>
      <c r="AI80" s="44"/>
      <c r="AJ80" s="58"/>
      <c r="AK80" s="54"/>
      <c r="AL80" s="62"/>
      <c r="AM80" s="53"/>
      <c r="AN80" s="44"/>
      <c r="AO80" s="44"/>
      <c r="AP80" s="58"/>
    </row>
    <row r="81" spans="1:42" x14ac:dyDescent="0.2">
      <c r="A81" s="41" t="s">
        <v>76</v>
      </c>
      <c r="F81" s="41" t="s">
        <v>76</v>
      </c>
      <c r="G81" s="54">
        <f>SUM(G78:G79)</f>
        <v>14625</v>
      </c>
      <c r="H81" s="54">
        <f>SUM(H78:H79)</f>
        <v>14625</v>
      </c>
      <c r="I81" s="55"/>
      <c r="J81" s="44">
        <f>SUM(J78:J79)</f>
        <v>23050</v>
      </c>
      <c r="K81" s="44">
        <f>SUM(K78:K79)</f>
        <v>23050</v>
      </c>
      <c r="L81" s="44"/>
      <c r="M81" s="54">
        <f>SUM(M78:M79)</f>
        <v>43768.75</v>
      </c>
      <c r="N81" s="54">
        <f>SUM(N78:N79)</f>
        <v>23050</v>
      </c>
      <c r="O81" s="55"/>
      <c r="P81" s="44">
        <f>SUM(P78:P79)</f>
        <v>43768.75</v>
      </c>
      <c r="Q81" s="44">
        <f>SUM(Q78:Q79)</f>
        <v>23050</v>
      </c>
      <c r="R81" s="44"/>
      <c r="S81" s="54">
        <f>SUM(S78:S79)</f>
        <v>87706.25</v>
      </c>
      <c r="T81" s="54">
        <f>SUM(T78:T79)</f>
        <v>43768.75</v>
      </c>
      <c r="U81" s="55"/>
      <c r="V81" s="44">
        <f>SUM(V78:V79)</f>
        <v>97206.25</v>
      </c>
      <c r="W81" s="44">
        <f>SUM(W78:W79)</f>
        <v>43768.75</v>
      </c>
      <c r="X81" s="44"/>
      <c r="Y81" s="54">
        <f>SUM(Y78:Y79)</f>
        <v>97206.25</v>
      </c>
      <c r="Z81" s="54">
        <f>SUM(Z78:Z79)</f>
        <v>43768.75</v>
      </c>
      <c r="AA81" s="54"/>
      <c r="AB81" s="44">
        <f>SUM(AB78:AB79)</f>
        <v>97206.25</v>
      </c>
      <c r="AC81" s="44">
        <f>SUM(AC78:AC79)</f>
        <v>43768.75</v>
      </c>
      <c r="AD81" s="59"/>
      <c r="AE81" s="54">
        <f>SUM(AE78:AE79)</f>
        <v>97206.25</v>
      </c>
      <c r="AF81" s="54">
        <f>SUM(AF78:AF79)</f>
        <v>43768.75</v>
      </c>
      <c r="AG81" s="55"/>
      <c r="AH81" s="44">
        <f>SUM(AH78:AH79)</f>
        <v>97206.25</v>
      </c>
      <c r="AI81" s="44">
        <f>SUM(AI78:AI79)</f>
        <v>43768.75</v>
      </c>
      <c r="AJ81" s="59"/>
      <c r="AK81" s="54">
        <f>SUM(AK78:AK79)</f>
        <v>97206.25</v>
      </c>
      <c r="AL81" s="54">
        <f>SUM(AL78:AL79)</f>
        <v>43768.75</v>
      </c>
      <c r="AM81" s="55"/>
      <c r="AN81" s="44">
        <f>SUM(AN78:AN79)</f>
        <v>97206.25</v>
      </c>
      <c r="AO81" s="44">
        <f>SUM(AO78:AO79)</f>
        <v>43768.75</v>
      </c>
      <c r="AP81" s="59"/>
    </row>
    <row r="82" spans="1:42" x14ac:dyDescent="0.2">
      <c r="B82" s="10" t="s">
        <v>77</v>
      </c>
      <c r="H82" s="42"/>
      <c r="I82" s="38"/>
      <c r="L82" s="38"/>
      <c r="O82" s="38"/>
      <c r="R82" s="38"/>
      <c r="U82" s="38"/>
      <c r="X82" s="38"/>
      <c r="AA82" s="38"/>
      <c r="AD82" s="38"/>
      <c r="AG82" s="38"/>
      <c r="AJ82" s="38"/>
      <c r="AM82" s="38"/>
      <c r="AP82" s="38"/>
    </row>
    <row r="83" spans="1:42" x14ac:dyDescent="0.2">
      <c r="I83" s="38"/>
      <c r="L83" s="38"/>
      <c r="O83" s="38"/>
      <c r="R83" s="38"/>
      <c r="U83" s="38"/>
      <c r="X83" s="38"/>
      <c r="AA83" s="38"/>
      <c r="AD83" s="38"/>
      <c r="AG83" s="38"/>
      <c r="AJ83" s="38"/>
      <c r="AM83" s="38"/>
      <c r="AP83" s="38"/>
    </row>
    <row r="84" spans="1:42" x14ac:dyDescent="0.2">
      <c r="F84" s="45"/>
      <c r="H84" s="42"/>
      <c r="I84" s="38"/>
      <c r="L84" s="38"/>
      <c r="O84" s="38"/>
      <c r="R84" s="38"/>
      <c r="U84" s="38"/>
      <c r="X84" s="38"/>
      <c r="AA84" s="38"/>
      <c r="AD84" s="38"/>
      <c r="AG84" s="38"/>
      <c r="AJ84" s="38"/>
      <c r="AM84" s="38"/>
      <c r="AP84" s="38"/>
    </row>
    <row r="85" spans="1:42" x14ac:dyDescent="0.2">
      <c r="F85" s="46"/>
      <c r="I85" s="38"/>
      <c r="L85" s="38"/>
      <c r="O85" s="38"/>
      <c r="R85" s="38"/>
      <c r="U85" s="38"/>
      <c r="X85" s="38"/>
      <c r="AA85" s="38"/>
      <c r="AD85" s="38"/>
      <c r="AG85" s="38"/>
      <c r="AJ85" s="38"/>
      <c r="AM85" s="38"/>
      <c r="AP85" s="38"/>
    </row>
    <row r="86" spans="1:42" x14ac:dyDescent="0.2">
      <c r="F86" s="46"/>
      <c r="I86" s="38"/>
      <c r="L86" s="38"/>
      <c r="O86" s="38"/>
      <c r="R86" s="38"/>
      <c r="U86" s="38"/>
      <c r="X86" s="38"/>
      <c r="AA86" s="38"/>
      <c r="AD86" s="38"/>
      <c r="AG86" s="38"/>
      <c r="AJ86" s="38"/>
      <c r="AM86" s="38"/>
      <c r="AP86" s="38"/>
    </row>
    <row r="87" spans="1:42" x14ac:dyDescent="0.2">
      <c r="F87" s="46"/>
      <c r="I87" s="38"/>
      <c r="L87" s="38"/>
      <c r="O87" s="38"/>
      <c r="R87" s="38"/>
      <c r="U87" s="38"/>
      <c r="X87" s="38"/>
      <c r="AA87" s="38"/>
      <c r="AD87" s="38"/>
      <c r="AG87" s="38"/>
      <c r="AJ87" s="38"/>
      <c r="AM87" s="38"/>
      <c r="AP87" s="38"/>
    </row>
    <row r="88" spans="1:42" x14ac:dyDescent="0.2">
      <c r="F88" s="46"/>
      <c r="I88" s="38"/>
      <c r="L88" s="38"/>
      <c r="O88" s="38"/>
      <c r="R88" s="38"/>
      <c r="U88" s="38"/>
      <c r="X88" s="38"/>
      <c r="AA88" s="38"/>
      <c r="AD88" s="38"/>
      <c r="AG88" s="38"/>
      <c r="AJ88" s="38"/>
      <c r="AM88" s="38"/>
      <c r="AP88" s="38"/>
    </row>
    <row r="89" spans="1:42" x14ac:dyDescent="0.2">
      <c r="F89" s="46"/>
      <c r="I89" s="38"/>
      <c r="L89" s="38"/>
      <c r="O89" s="38"/>
      <c r="R89" s="38"/>
      <c r="U89" s="38"/>
      <c r="X89" s="38"/>
      <c r="AA89" s="38"/>
      <c r="AD89" s="38"/>
      <c r="AG89" s="38"/>
      <c r="AJ89" s="38"/>
      <c r="AM89" s="38"/>
      <c r="AP89" s="38"/>
    </row>
    <row r="90" spans="1:42" x14ac:dyDescent="0.2">
      <c r="I90" s="38"/>
      <c r="L90" s="38"/>
      <c r="O90" s="38"/>
      <c r="R90" s="38"/>
      <c r="U90" s="38"/>
      <c r="X90" s="38"/>
      <c r="AA90" s="38"/>
      <c r="AD90" s="38"/>
      <c r="AG90" s="38"/>
      <c r="AJ90" s="38"/>
      <c r="AM90" s="38"/>
      <c r="AP90" s="38"/>
    </row>
    <row r="91" spans="1:42" x14ac:dyDescent="0.2">
      <c r="I91" s="38"/>
      <c r="L91" s="38"/>
      <c r="O91" s="38"/>
      <c r="R91" s="38"/>
      <c r="U91" s="38"/>
      <c r="X91" s="38"/>
      <c r="AA91" s="38"/>
      <c r="AD91" s="38"/>
      <c r="AG91" s="38"/>
      <c r="AJ91" s="38"/>
      <c r="AM91" s="38"/>
      <c r="AP91" s="38"/>
    </row>
    <row r="92" spans="1:42" x14ac:dyDescent="0.2">
      <c r="I92" s="38"/>
      <c r="L92" s="38"/>
      <c r="O92" s="38"/>
      <c r="R92" s="38"/>
      <c r="U92" s="38"/>
      <c r="X92" s="38"/>
      <c r="AA92" s="38"/>
      <c r="AD92" s="38"/>
      <c r="AG92" s="38"/>
      <c r="AJ92" s="38"/>
      <c r="AM92" s="38"/>
      <c r="AP92" s="38"/>
    </row>
    <row r="93" spans="1:42" x14ac:dyDescent="0.2">
      <c r="I93" s="38"/>
      <c r="L93" s="38"/>
      <c r="O93" s="38"/>
      <c r="R93" s="38"/>
      <c r="U93" s="38"/>
      <c r="X93" s="38"/>
      <c r="AA93" s="38"/>
      <c r="AD93" s="38"/>
      <c r="AG93" s="38"/>
      <c r="AJ93" s="38"/>
      <c r="AM93" s="38"/>
      <c r="AP93" s="38"/>
    </row>
    <row r="94" spans="1:42" x14ac:dyDescent="0.2">
      <c r="I94" s="38"/>
      <c r="L94" s="38"/>
      <c r="O94" s="38"/>
      <c r="R94" s="38"/>
      <c r="U94" s="38"/>
      <c r="X94" s="38"/>
      <c r="AA94" s="38"/>
      <c r="AD94" s="38"/>
      <c r="AG94" s="38"/>
      <c r="AJ94" s="38"/>
      <c r="AM94" s="38"/>
      <c r="AP94" s="38"/>
    </row>
    <row r="95" spans="1:42" x14ac:dyDescent="0.2">
      <c r="I95" s="38"/>
      <c r="L95" s="38"/>
      <c r="O95" s="38"/>
      <c r="R95" s="38"/>
      <c r="U95" s="38"/>
      <c r="X95" s="38"/>
      <c r="AA95" s="38"/>
      <c r="AD95" s="38"/>
      <c r="AG95" s="38"/>
      <c r="AJ95" s="38"/>
      <c r="AM95" s="38"/>
      <c r="AP95" s="38"/>
    </row>
    <row r="96" spans="1:42" x14ac:dyDescent="0.2">
      <c r="I96" s="38"/>
      <c r="L96" s="38"/>
      <c r="O96" s="38"/>
      <c r="R96" s="38"/>
      <c r="U96" s="38"/>
      <c r="X96" s="38"/>
      <c r="AA96" s="38"/>
      <c r="AD96" s="38"/>
      <c r="AG96" s="38"/>
      <c r="AJ96" s="38"/>
      <c r="AM96" s="38"/>
      <c r="AP96" s="38"/>
    </row>
    <row r="97" spans="9:42" x14ac:dyDescent="0.2">
      <c r="I97" s="38"/>
      <c r="L97" s="38"/>
      <c r="O97" s="38"/>
      <c r="R97" s="38"/>
      <c r="U97" s="38"/>
      <c r="X97" s="38"/>
      <c r="AA97" s="38"/>
      <c r="AD97" s="38"/>
      <c r="AG97" s="38"/>
      <c r="AJ97" s="38"/>
      <c r="AM97" s="38"/>
      <c r="AP97" s="38"/>
    </row>
    <row r="98" spans="9:42" x14ac:dyDescent="0.2">
      <c r="I98" s="38"/>
      <c r="L98" s="38"/>
      <c r="O98" s="38"/>
      <c r="R98" s="38"/>
      <c r="U98" s="38"/>
      <c r="X98" s="38"/>
      <c r="AA98" s="38"/>
      <c r="AD98" s="38"/>
      <c r="AG98" s="38"/>
      <c r="AJ98" s="38"/>
      <c r="AM98" s="38"/>
      <c r="AP98" s="38"/>
    </row>
    <row r="99" spans="9:42" x14ac:dyDescent="0.2">
      <c r="I99" s="38"/>
      <c r="L99" s="38"/>
      <c r="O99" s="38"/>
      <c r="R99" s="38"/>
      <c r="U99" s="38"/>
      <c r="X99" s="38"/>
      <c r="AA99" s="38"/>
      <c r="AD99" s="38"/>
      <c r="AG99" s="38"/>
      <c r="AJ99" s="38"/>
      <c r="AM99" s="38"/>
      <c r="AP99" s="38"/>
    </row>
    <row r="100" spans="9:42" x14ac:dyDescent="0.2">
      <c r="I100" s="38"/>
      <c r="L100" s="38"/>
      <c r="O100" s="38"/>
      <c r="R100" s="38"/>
      <c r="U100" s="38"/>
      <c r="X100" s="38"/>
      <c r="AA100" s="38"/>
      <c r="AD100" s="38"/>
      <c r="AG100" s="38"/>
      <c r="AJ100" s="38"/>
      <c r="AM100" s="38"/>
      <c r="AP100" s="38"/>
    </row>
    <row r="101" spans="9:42" x14ac:dyDescent="0.2">
      <c r="I101" s="38"/>
      <c r="L101" s="38"/>
      <c r="O101" s="38"/>
      <c r="R101" s="38"/>
      <c r="U101" s="38"/>
      <c r="X101" s="38"/>
      <c r="AA101" s="38"/>
      <c r="AD101" s="38"/>
      <c r="AG101" s="38"/>
      <c r="AJ101" s="38"/>
      <c r="AM101" s="38"/>
      <c r="AP101" s="38"/>
    </row>
    <row r="102" spans="9:42" x14ac:dyDescent="0.2">
      <c r="I102" s="38"/>
      <c r="L102" s="38"/>
      <c r="O102" s="38"/>
      <c r="R102" s="38"/>
      <c r="U102" s="38"/>
      <c r="X102" s="38"/>
      <c r="AA102" s="38"/>
      <c r="AD102" s="38"/>
      <c r="AG102" s="38"/>
      <c r="AJ102" s="38"/>
      <c r="AM102" s="38"/>
      <c r="AP102" s="38"/>
    </row>
    <row r="103" spans="9:42" x14ac:dyDescent="0.2">
      <c r="I103" s="38"/>
      <c r="L103" s="38"/>
      <c r="O103" s="38"/>
      <c r="R103" s="38"/>
      <c r="U103" s="38"/>
      <c r="X103" s="38"/>
      <c r="AA103" s="38"/>
      <c r="AD103" s="38"/>
      <c r="AG103" s="38"/>
      <c r="AJ103" s="38"/>
      <c r="AM103" s="38"/>
      <c r="AP103" s="38"/>
    </row>
    <row r="104" spans="9:42" x14ac:dyDescent="0.2">
      <c r="I104" s="38"/>
      <c r="L104" s="38"/>
      <c r="O104" s="38"/>
      <c r="R104" s="38"/>
      <c r="U104" s="38"/>
      <c r="X104" s="38"/>
      <c r="AA104" s="38"/>
      <c r="AD104" s="38"/>
      <c r="AG104" s="38"/>
      <c r="AJ104" s="38"/>
      <c r="AM104" s="38"/>
      <c r="AP104" s="38"/>
    </row>
    <row r="105" spans="9:42" x14ac:dyDescent="0.2">
      <c r="I105" s="38"/>
      <c r="L105" s="38"/>
      <c r="O105" s="38"/>
      <c r="R105" s="38"/>
      <c r="U105" s="38"/>
      <c r="X105" s="38"/>
      <c r="AA105" s="38"/>
      <c r="AD105" s="38"/>
      <c r="AG105" s="38"/>
      <c r="AJ105" s="38"/>
      <c r="AM105" s="38"/>
      <c r="AP105" s="38"/>
    </row>
    <row r="106" spans="9:42" x14ac:dyDescent="0.2">
      <c r="I106" s="38"/>
      <c r="L106" s="38"/>
      <c r="O106" s="38"/>
      <c r="R106" s="38"/>
      <c r="U106" s="38"/>
      <c r="X106" s="38"/>
      <c r="AA106" s="38"/>
      <c r="AD106" s="38"/>
      <c r="AG106" s="38"/>
      <c r="AJ106" s="38"/>
      <c r="AM106" s="38"/>
      <c r="AP106" s="38"/>
    </row>
    <row r="107" spans="9:42" x14ac:dyDescent="0.2">
      <c r="I107" s="38"/>
      <c r="L107" s="38"/>
      <c r="O107" s="38"/>
      <c r="R107" s="38"/>
      <c r="U107" s="38"/>
      <c r="X107" s="38"/>
      <c r="AA107" s="38"/>
      <c r="AD107" s="38"/>
      <c r="AG107" s="38"/>
      <c r="AJ107" s="38"/>
      <c r="AM107" s="38"/>
      <c r="AP107" s="38"/>
    </row>
    <row r="108" spans="9:42" x14ac:dyDescent="0.2">
      <c r="I108" s="38"/>
      <c r="L108" s="38"/>
      <c r="O108" s="38"/>
      <c r="R108" s="38"/>
      <c r="U108" s="38"/>
      <c r="X108" s="38"/>
      <c r="AA108" s="38"/>
      <c r="AD108" s="38"/>
      <c r="AG108" s="38"/>
      <c r="AJ108" s="38"/>
      <c r="AM108" s="38"/>
      <c r="AP108" s="38"/>
    </row>
    <row r="109" spans="9:42" x14ac:dyDescent="0.2">
      <c r="I109" s="38"/>
      <c r="L109" s="38"/>
      <c r="O109" s="38"/>
      <c r="R109" s="38"/>
      <c r="U109" s="38"/>
      <c r="X109" s="38"/>
      <c r="AA109" s="38"/>
      <c r="AD109" s="38"/>
      <c r="AG109" s="38"/>
      <c r="AJ109" s="38"/>
      <c r="AM109" s="38"/>
      <c r="AP109" s="38"/>
    </row>
    <row r="110" spans="9:42" x14ac:dyDescent="0.2">
      <c r="I110" s="38"/>
      <c r="L110" s="38"/>
      <c r="O110" s="38"/>
      <c r="R110" s="38"/>
      <c r="U110" s="38"/>
      <c r="X110" s="38"/>
      <c r="AA110" s="38"/>
      <c r="AD110" s="38"/>
      <c r="AG110" s="38"/>
      <c r="AJ110" s="38"/>
      <c r="AM110" s="38"/>
      <c r="AP110" s="38"/>
    </row>
    <row r="111" spans="9:42" x14ac:dyDescent="0.2">
      <c r="I111" s="38"/>
      <c r="L111" s="38"/>
      <c r="O111" s="38"/>
      <c r="R111" s="38"/>
      <c r="U111" s="38"/>
      <c r="X111" s="38"/>
      <c r="AA111" s="38"/>
      <c r="AD111" s="38"/>
      <c r="AG111" s="38"/>
      <c r="AJ111" s="38"/>
      <c r="AM111" s="38"/>
      <c r="AP111" s="38"/>
    </row>
    <row r="112" spans="9:42" x14ac:dyDescent="0.2">
      <c r="I112" s="38"/>
      <c r="L112" s="38"/>
      <c r="O112" s="38"/>
      <c r="R112" s="38"/>
      <c r="U112" s="38"/>
      <c r="X112" s="38"/>
      <c r="AA112" s="38"/>
      <c r="AD112" s="38"/>
      <c r="AG112" s="38"/>
      <c r="AJ112" s="38"/>
      <c r="AM112" s="38"/>
      <c r="AP112" s="38"/>
    </row>
    <row r="113" spans="9:42" x14ac:dyDescent="0.2">
      <c r="I113" s="38"/>
      <c r="L113" s="38"/>
      <c r="O113" s="38"/>
      <c r="R113" s="38"/>
      <c r="U113" s="38"/>
      <c r="X113" s="38"/>
      <c r="AA113" s="38"/>
      <c r="AD113" s="38"/>
      <c r="AG113" s="38"/>
      <c r="AJ113" s="38"/>
      <c r="AM113" s="38"/>
      <c r="AP113" s="38"/>
    </row>
    <row r="114" spans="9:42" x14ac:dyDescent="0.2">
      <c r="I114" s="38"/>
      <c r="L114" s="38"/>
      <c r="O114" s="38"/>
      <c r="R114" s="38"/>
      <c r="U114" s="38"/>
      <c r="X114" s="38"/>
      <c r="AA114" s="38"/>
      <c r="AD114" s="38"/>
      <c r="AG114" s="38"/>
      <c r="AJ114" s="38"/>
      <c r="AM114" s="38"/>
      <c r="AP114" s="38"/>
    </row>
    <row r="115" spans="9:42" x14ac:dyDescent="0.2">
      <c r="I115" s="38"/>
      <c r="L115" s="38"/>
      <c r="O115" s="38"/>
      <c r="R115" s="38"/>
      <c r="U115" s="38"/>
      <c r="X115" s="38"/>
      <c r="AA115" s="38"/>
      <c r="AD115" s="38"/>
      <c r="AG115" s="38"/>
      <c r="AJ115" s="38"/>
      <c r="AM115" s="38"/>
      <c r="AP115" s="38"/>
    </row>
    <row r="116" spans="9:42" x14ac:dyDescent="0.2">
      <c r="I116" s="38"/>
      <c r="L116" s="38"/>
      <c r="O116" s="38"/>
      <c r="R116" s="38"/>
      <c r="U116" s="38"/>
      <c r="X116" s="38"/>
      <c r="AA116" s="38"/>
      <c r="AD116" s="38"/>
      <c r="AG116" s="38"/>
      <c r="AJ116" s="38"/>
      <c r="AM116" s="38"/>
      <c r="AP116" s="38"/>
    </row>
    <row r="117" spans="9:42" x14ac:dyDescent="0.2">
      <c r="I117" s="38"/>
      <c r="L117" s="38"/>
      <c r="O117" s="38"/>
      <c r="R117" s="38"/>
      <c r="U117" s="38"/>
      <c r="X117" s="38"/>
      <c r="AA117" s="38"/>
      <c r="AD117" s="38"/>
      <c r="AG117" s="38"/>
      <c r="AJ117" s="38"/>
      <c r="AM117" s="38"/>
      <c r="AP117" s="38"/>
    </row>
    <row r="118" spans="9:42" x14ac:dyDescent="0.2">
      <c r="I118" s="38"/>
      <c r="L118" s="38"/>
      <c r="O118" s="38"/>
      <c r="R118" s="38"/>
      <c r="U118" s="38"/>
      <c r="X118" s="38"/>
      <c r="AA118" s="38"/>
      <c r="AD118" s="38"/>
      <c r="AG118" s="38"/>
      <c r="AJ118" s="38"/>
      <c r="AM118" s="38"/>
      <c r="AP118" s="38"/>
    </row>
    <row r="119" spans="9:42" x14ac:dyDescent="0.2">
      <c r="I119" s="38"/>
      <c r="L119" s="38"/>
      <c r="O119" s="38"/>
      <c r="R119" s="38"/>
      <c r="U119" s="38"/>
      <c r="X119" s="38"/>
      <c r="AA119" s="38"/>
      <c r="AD119" s="38"/>
      <c r="AG119" s="38"/>
      <c r="AJ119" s="38"/>
      <c r="AM119" s="38"/>
      <c r="AP119" s="38"/>
    </row>
    <row r="120" spans="9:42" x14ac:dyDescent="0.2">
      <c r="I120" s="38"/>
      <c r="L120" s="38"/>
      <c r="O120" s="38"/>
      <c r="R120" s="38"/>
      <c r="U120" s="38"/>
      <c r="X120" s="38"/>
      <c r="AA120" s="38"/>
      <c r="AD120" s="38"/>
      <c r="AG120" s="38"/>
      <c r="AJ120" s="38"/>
      <c r="AM120" s="38"/>
      <c r="AP120" s="38"/>
    </row>
    <row r="121" spans="9:42" x14ac:dyDescent="0.2">
      <c r="I121" s="38"/>
      <c r="L121" s="38"/>
      <c r="O121" s="38"/>
      <c r="R121" s="38"/>
      <c r="U121" s="38"/>
      <c r="X121" s="38"/>
      <c r="AA121" s="38"/>
      <c r="AD121" s="38"/>
      <c r="AG121" s="38"/>
      <c r="AJ121" s="38"/>
      <c r="AM121" s="38"/>
      <c r="AP121" s="38"/>
    </row>
    <row r="122" spans="9:42" x14ac:dyDescent="0.2">
      <c r="I122" s="38"/>
      <c r="L122" s="38"/>
      <c r="O122" s="38"/>
      <c r="R122" s="38"/>
      <c r="U122" s="38"/>
      <c r="X122" s="38"/>
      <c r="AA122" s="38"/>
      <c r="AD122" s="38"/>
      <c r="AG122" s="38"/>
      <c r="AJ122" s="38"/>
      <c r="AM122" s="38"/>
      <c r="AP122" s="38"/>
    </row>
    <row r="123" spans="9:42" x14ac:dyDescent="0.2">
      <c r="I123" s="38"/>
      <c r="L123" s="38"/>
      <c r="O123" s="38"/>
      <c r="R123" s="38"/>
      <c r="U123" s="38"/>
      <c r="X123" s="38"/>
      <c r="AA123" s="38"/>
      <c r="AD123" s="38"/>
      <c r="AG123" s="38"/>
      <c r="AJ123" s="38"/>
      <c r="AM123" s="38"/>
      <c r="AP123" s="38"/>
    </row>
    <row r="124" spans="9:42" x14ac:dyDescent="0.2">
      <c r="I124" s="38"/>
      <c r="L124" s="38"/>
      <c r="O124" s="38"/>
      <c r="R124" s="38"/>
      <c r="U124" s="38"/>
      <c r="X124" s="38"/>
      <c r="AA124" s="38"/>
      <c r="AD124" s="38"/>
      <c r="AG124" s="38"/>
      <c r="AJ124" s="38"/>
      <c r="AM124" s="38"/>
      <c r="AP124" s="38"/>
    </row>
    <row r="125" spans="9:42" x14ac:dyDescent="0.2">
      <c r="I125" s="38"/>
      <c r="L125" s="38"/>
      <c r="O125" s="38"/>
      <c r="R125" s="38"/>
      <c r="U125" s="38"/>
      <c r="X125" s="38"/>
      <c r="AA125" s="38"/>
      <c r="AD125" s="38"/>
      <c r="AG125" s="38"/>
      <c r="AJ125" s="38"/>
      <c r="AM125" s="38"/>
      <c r="AP125" s="38"/>
    </row>
    <row r="126" spans="9:42" x14ac:dyDescent="0.2">
      <c r="I126" s="38"/>
      <c r="L126" s="38"/>
      <c r="O126" s="38"/>
      <c r="R126" s="38"/>
      <c r="U126" s="38"/>
      <c r="X126" s="38"/>
      <c r="AA126" s="38"/>
      <c r="AD126" s="38"/>
      <c r="AG126" s="38"/>
      <c r="AJ126" s="38"/>
      <c r="AM126" s="38"/>
      <c r="AP126" s="38"/>
    </row>
    <row r="127" spans="9:42" x14ac:dyDescent="0.2">
      <c r="I127" s="38"/>
      <c r="L127" s="38"/>
      <c r="O127" s="38"/>
      <c r="R127" s="38"/>
      <c r="U127" s="38"/>
      <c r="X127" s="38"/>
      <c r="AA127" s="38"/>
      <c r="AD127" s="38"/>
      <c r="AG127" s="38"/>
      <c r="AJ127" s="38"/>
      <c r="AM127" s="38"/>
      <c r="AP127" s="38"/>
    </row>
    <row r="128" spans="9:42" x14ac:dyDescent="0.2">
      <c r="I128" s="38"/>
      <c r="L128" s="38"/>
      <c r="O128" s="38"/>
      <c r="R128" s="38"/>
      <c r="U128" s="38"/>
      <c r="X128" s="38"/>
      <c r="AA128" s="38"/>
      <c r="AD128" s="38"/>
      <c r="AG128" s="38"/>
      <c r="AJ128" s="38"/>
      <c r="AM128" s="38"/>
      <c r="AP128" s="38"/>
    </row>
    <row r="129" spans="9:42" x14ac:dyDescent="0.2">
      <c r="I129" s="38"/>
      <c r="L129" s="38"/>
      <c r="O129" s="38"/>
      <c r="R129" s="38"/>
      <c r="U129" s="38"/>
      <c r="X129" s="38"/>
      <c r="AA129" s="38"/>
      <c r="AD129" s="38"/>
      <c r="AG129" s="38"/>
      <c r="AJ129" s="38"/>
      <c r="AM129" s="38"/>
      <c r="AP129" s="38"/>
    </row>
    <row r="130" spans="9:42" x14ac:dyDescent="0.2">
      <c r="I130" s="38"/>
      <c r="L130" s="38"/>
      <c r="O130" s="38"/>
      <c r="R130" s="38"/>
      <c r="U130" s="38"/>
      <c r="X130" s="38"/>
      <c r="AA130" s="38"/>
      <c r="AD130" s="38"/>
      <c r="AG130" s="38"/>
      <c r="AJ130" s="38"/>
      <c r="AM130" s="38"/>
      <c r="AP130" s="38"/>
    </row>
    <row r="131" spans="9:42" x14ac:dyDescent="0.2">
      <c r="I131" s="38"/>
      <c r="L131" s="38"/>
      <c r="O131" s="38"/>
      <c r="R131" s="38"/>
      <c r="U131" s="38"/>
      <c r="X131" s="38"/>
      <c r="AA131" s="38"/>
      <c r="AD131" s="38"/>
      <c r="AG131" s="38"/>
      <c r="AJ131" s="38"/>
      <c r="AM131" s="38"/>
      <c r="AP131" s="38"/>
    </row>
    <row r="132" spans="9:42" x14ac:dyDescent="0.2">
      <c r="I132" s="38"/>
      <c r="L132" s="38"/>
      <c r="O132" s="38"/>
      <c r="R132" s="38"/>
      <c r="U132" s="38"/>
      <c r="X132" s="38"/>
      <c r="AA132" s="38"/>
      <c r="AD132" s="38"/>
      <c r="AG132" s="38"/>
      <c r="AJ132" s="38"/>
      <c r="AM132" s="38"/>
      <c r="AP132" s="38"/>
    </row>
    <row r="133" spans="9:42" x14ac:dyDescent="0.2">
      <c r="I133" s="38"/>
      <c r="L133" s="38"/>
      <c r="O133" s="38"/>
      <c r="R133" s="38"/>
      <c r="U133" s="38"/>
      <c r="X133" s="38"/>
      <c r="AA133" s="38"/>
      <c r="AD133" s="38"/>
      <c r="AG133" s="38"/>
      <c r="AJ133" s="38"/>
      <c r="AM133" s="38"/>
      <c r="AP133" s="38"/>
    </row>
    <row r="134" spans="9:42" x14ac:dyDescent="0.2">
      <c r="I134" s="38"/>
      <c r="L134" s="38"/>
      <c r="O134" s="38"/>
      <c r="R134" s="38"/>
      <c r="U134" s="38"/>
      <c r="X134" s="38"/>
      <c r="AA134" s="38"/>
      <c r="AD134" s="38"/>
      <c r="AG134" s="38"/>
      <c r="AJ134" s="38"/>
      <c r="AM134" s="38"/>
      <c r="AP134" s="38"/>
    </row>
    <row r="135" spans="9:42" x14ac:dyDescent="0.2">
      <c r="I135" s="38"/>
      <c r="L135" s="38"/>
      <c r="O135" s="38"/>
      <c r="R135" s="38"/>
      <c r="U135" s="38"/>
      <c r="X135" s="38"/>
      <c r="AA135" s="38"/>
      <c r="AD135" s="38"/>
      <c r="AG135" s="38"/>
      <c r="AJ135" s="38"/>
      <c r="AM135" s="38"/>
      <c r="AP135" s="38"/>
    </row>
    <row r="136" spans="9:42" x14ac:dyDescent="0.2">
      <c r="I136" s="38"/>
      <c r="L136" s="38"/>
      <c r="O136" s="38"/>
      <c r="R136" s="38"/>
      <c r="U136" s="38"/>
      <c r="X136" s="38"/>
      <c r="AA136" s="38"/>
      <c r="AD136" s="38"/>
      <c r="AG136" s="38"/>
      <c r="AJ136" s="38"/>
      <c r="AM136" s="38"/>
      <c r="AP136" s="38"/>
    </row>
    <row r="137" spans="9:42" x14ac:dyDescent="0.2">
      <c r="I137" s="38"/>
      <c r="L137" s="38"/>
      <c r="O137" s="38"/>
      <c r="R137" s="38"/>
      <c r="U137" s="38"/>
      <c r="X137" s="38"/>
      <c r="AA137" s="38"/>
      <c r="AD137" s="38"/>
      <c r="AG137" s="38"/>
      <c r="AJ137" s="38"/>
      <c r="AM137" s="38"/>
      <c r="AP137" s="38"/>
    </row>
    <row r="138" spans="9:42" x14ac:dyDescent="0.2">
      <c r="I138" s="38"/>
      <c r="L138" s="38"/>
      <c r="O138" s="38"/>
      <c r="R138" s="38"/>
      <c r="U138" s="38"/>
      <c r="X138" s="38"/>
      <c r="AA138" s="38"/>
      <c r="AD138" s="38"/>
      <c r="AG138" s="38"/>
      <c r="AJ138" s="38"/>
      <c r="AM138" s="38"/>
      <c r="AP138" s="38"/>
    </row>
    <row r="139" spans="9:42" x14ac:dyDescent="0.2">
      <c r="I139" s="38"/>
      <c r="L139" s="38"/>
      <c r="O139" s="38"/>
      <c r="R139" s="38"/>
      <c r="U139" s="38"/>
      <c r="X139" s="38"/>
      <c r="AA139" s="38"/>
      <c r="AD139" s="38"/>
      <c r="AG139" s="38"/>
      <c r="AJ139" s="38"/>
      <c r="AM139" s="38"/>
      <c r="AP139" s="38"/>
    </row>
    <row r="140" spans="9:42" x14ac:dyDescent="0.2">
      <c r="I140" s="38"/>
      <c r="L140" s="38"/>
      <c r="O140" s="38"/>
      <c r="R140" s="38"/>
      <c r="U140" s="38"/>
      <c r="X140" s="38"/>
      <c r="AA140" s="38"/>
      <c r="AD140" s="38"/>
      <c r="AG140" s="38"/>
      <c r="AJ140" s="38"/>
      <c r="AM140" s="38"/>
      <c r="AP140" s="38"/>
    </row>
    <row r="141" spans="9:42" x14ac:dyDescent="0.2">
      <c r="I141" s="38"/>
      <c r="L141" s="38"/>
      <c r="O141" s="38"/>
      <c r="R141" s="38"/>
      <c r="U141" s="38"/>
      <c r="X141" s="38"/>
      <c r="AA141" s="38"/>
      <c r="AD141" s="38"/>
      <c r="AG141" s="38"/>
      <c r="AJ141" s="38"/>
      <c r="AM141" s="38"/>
      <c r="AP141" s="38"/>
    </row>
    <row r="142" spans="9:42" x14ac:dyDescent="0.2">
      <c r="I142" s="38"/>
      <c r="L142" s="38"/>
      <c r="O142" s="38"/>
      <c r="R142" s="38"/>
      <c r="U142" s="38"/>
      <c r="X142" s="38"/>
      <c r="AA142" s="38"/>
      <c r="AD142" s="38"/>
      <c r="AG142" s="38"/>
      <c r="AJ142" s="38"/>
      <c r="AM142" s="38"/>
      <c r="AP142" s="38"/>
    </row>
    <row r="143" spans="9:42" x14ac:dyDescent="0.2">
      <c r="I143" s="38"/>
      <c r="L143" s="38"/>
      <c r="O143" s="38"/>
      <c r="R143" s="38"/>
      <c r="U143" s="38"/>
      <c r="X143" s="38"/>
      <c r="AA143" s="38"/>
      <c r="AD143" s="38"/>
      <c r="AG143" s="38"/>
      <c r="AJ143" s="38"/>
      <c r="AM143" s="38"/>
      <c r="AP143" s="38"/>
    </row>
    <row r="144" spans="9:42" x14ac:dyDescent="0.2">
      <c r="I144" s="38"/>
      <c r="L144" s="38"/>
      <c r="O144" s="38"/>
      <c r="R144" s="38"/>
      <c r="U144" s="38"/>
      <c r="X144" s="38"/>
      <c r="AA144" s="38"/>
      <c r="AD144" s="38"/>
      <c r="AG144" s="38"/>
      <c r="AJ144" s="38"/>
      <c r="AM144" s="38"/>
      <c r="AP144" s="38"/>
    </row>
    <row r="145" spans="9:42" x14ac:dyDescent="0.2">
      <c r="I145" s="38"/>
      <c r="L145" s="38"/>
      <c r="O145" s="38"/>
      <c r="R145" s="38"/>
      <c r="U145" s="38"/>
      <c r="X145" s="38"/>
      <c r="AA145" s="38"/>
      <c r="AD145" s="38"/>
      <c r="AG145" s="38"/>
      <c r="AJ145" s="38"/>
      <c r="AM145" s="38"/>
      <c r="AP145" s="38"/>
    </row>
    <row r="146" spans="9:42" x14ac:dyDescent="0.2">
      <c r="I146" s="38"/>
      <c r="L146" s="38"/>
      <c r="O146" s="38"/>
      <c r="R146" s="38"/>
      <c r="U146" s="38"/>
      <c r="X146" s="38"/>
      <c r="AA146" s="38"/>
      <c r="AD146" s="38"/>
      <c r="AG146" s="38"/>
      <c r="AJ146" s="38"/>
      <c r="AM146" s="38"/>
      <c r="AP146" s="38"/>
    </row>
    <row r="147" spans="9:42" x14ac:dyDescent="0.2">
      <c r="I147" s="38"/>
      <c r="L147" s="38"/>
      <c r="O147" s="38"/>
      <c r="R147" s="38"/>
      <c r="U147" s="38"/>
      <c r="X147" s="38"/>
      <c r="AA147" s="38"/>
      <c r="AD147" s="38"/>
      <c r="AG147" s="38"/>
      <c r="AJ147" s="38"/>
      <c r="AM147" s="38"/>
      <c r="AP147" s="38"/>
    </row>
    <row r="148" spans="9:42" x14ac:dyDescent="0.2">
      <c r="I148" s="38"/>
      <c r="L148" s="38"/>
      <c r="O148" s="38"/>
      <c r="R148" s="38"/>
      <c r="U148" s="38"/>
      <c r="X148" s="38"/>
      <c r="AA148" s="38"/>
      <c r="AD148" s="38"/>
      <c r="AG148" s="38"/>
      <c r="AJ148" s="38"/>
      <c r="AM148" s="38"/>
      <c r="AP148" s="38"/>
    </row>
    <row r="149" spans="9:42" x14ac:dyDescent="0.2">
      <c r="I149" s="38"/>
      <c r="L149" s="38"/>
      <c r="O149" s="38"/>
      <c r="R149" s="38"/>
      <c r="U149" s="38"/>
      <c r="X149" s="38"/>
      <c r="AA149" s="38"/>
      <c r="AD149" s="38"/>
      <c r="AG149" s="38"/>
      <c r="AJ149" s="38"/>
      <c r="AM149" s="38"/>
      <c r="AP149" s="38"/>
    </row>
    <row r="150" spans="9:42" x14ac:dyDescent="0.2">
      <c r="I150" s="38"/>
      <c r="L150" s="38"/>
      <c r="O150" s="38"/>
      <c r="R150" s="38"/>
      <c r="U150" s="38"/>
      <c r="X150" s="38"/>
      <c r="AA150" s="38"/>
      <c r="AD150" s="38"/>
      <c r="AG150" s="38"/>
      <c r="AJ150" s="38"/>
      <c r="AM150" s="38"/>
      <c r="AP150" s="38"/>
    </row>
    <row r="151" spans="9:42" x14ac:dyDescent="0.2">
      <c r="I151" s="38"/>
      <c r="L151" s="38"/>
      <c r="O151" s="38"/>
      <c r="R151" s="38"/>
      <c r="U151" s="38"/>
      <c r="X151" s="38"/>
      <c r="AA151" s="38"/>
      <c r="AD151" s="38"/>
      <c r="AG151" s="38"/>
      <c r="AJ151" s="38"/>
      <c r="AM151" s="38"/>
      <c r="AP151" s="38"/>
    </row>
    <row r="152" spans="9:42" x14ac:dyDescent="0.2">
      <c r="I152" s="38"/>
      <c r="L152" s="38"/>
      <c r="O152" s="38"/>
      <c r="R152" s="38"/>
      <c r="U152" s="38"/>
      <c r="X152" s="38"/>
      <c r="AA152" s="38"/>
      <c r="AD152" s="38"/>
      <c r="AG152" s="38"/>
      <c r="AJ152" s="38"/>
      <c r="AM152" s="38"/>
      <c r="AP152" s="38"/>
    </row>
    <row r="153" spans="9:42" x14ac:dyDescent="0.2">
      <c r="I153" s="38"/>
      <c r="L153" s="38"/>
      <c r="O153" s="38"/>
      <c r="R153" s="38"/>
      <c r="U153" s="38"/>
      <c r="X153" s="38"/>
      <c r="AA153" s="38"/>
      <c r="AD153" s="38"/>
      <c r="AG153" s="38"/>
      <c r="AJ153" s="38"/>
      <c r="AM153" s="38"/>
      <c r="AP153" s="38"/>
    </row>
    <row r="154" spans="9:42" x14ac:dyDescent="0.2">
      <c r="I154" s="38"/>
      <c r="L154" s="38"/>
      <c r="O154" s="38"/>
      <c r="R154" s="38"/>
      <c r="U154" s="38"/>
      <c r="X154" s="38"/>
      <c r="AA154" s="38"/>
      <c r="AD154" s="38"/>
      <c r="AG154" s="38"/>
      <c r="AJ154" s="38"/>
      <c r="AM154" s="38"/>
      <c r="AP154" s="38"/>
    </row>
    <row r="155" spans="9:42" x14ac:dyDescent="0.2">
      <c r="I155" s="38"/>
      <c r="L155" s="38"/>
      <c r="O155" s="38"/>
      <c r="R155" s="38"/>
      <c r="U155" s="38"/>
      <c r="X155" s="38"/>
      <c r="AA155" s="38"/>
      <c r="AD155" s="38"/>
      <c r="AG155" s="38"/>
      <c r="AJ155" s="38"/>
      <c r="AM155" s="38"/>
      <c r="AP155" s="38"/>
    </row>
    <row r="156" spans="9:42" x14ac:dyDescent="0.2">
      <c r="I156" s="38"/>
      <c r="L156" s="38"/>
      <c r="O156" s="38"/>
      <c r="R156" s="38"/>
      <c r="U156" s="38"/>
      <c r="X156" s="38"/>
      <c r="AA156" s="38"/>
      <c r="AD156" s="38"/>
      <c r="AG156" s="38"/>
      <c r="AJ156" s="38"/>
      <c r="AM156" s="38"/>
      <c r="AP156" s="38"/>
    </row>
    <row r="157" spans="9:42" x14ac:dyDescent="0.2">
      <c r="I157" s="38"/>
      <c r="L157" s="38"/>
      <c r="O157" s="38"/>
      <c r="R157" s="38"/>
      <c r="U157" s="38"/>
      <c r="X157" s="38"/>
      <c r="AA157" s="38"/>
      <c r="AD157" s="38"/>
      <c r="AG157" s="38"/>
      <c r="AJ157" s="38"/>
      <c r="AM157" s="38"/>
      <c r="AP157" s="38"/>
    </row>
    <row r="158" spans="9:42" x14ac:dyDescent="0.2">
      <c r="I158" s="38"/>
      <c r="L158" s="38"/>
      <c r="O158" s="38"/>
      <c r="R158" s="38"/>
      <c r="U158" s="38"/>
      <c r="X158" s="38"/>
      <c r="AA158" s="38"/>
      <c r="AD158" s="38"/>
      <c r="AG158" s="38"/>
      <c r="AJ158" s="38"/>
      <c r="AM158" s="38"/>
      <c r="AP158" s="38"/>
    </row>
    <row r="159" spans="9:42" x14ac:dyDescent="0.2">
      <c r="I159" s="38"/>
      <c r="L159" s="38"/>
      <c r="O159" s="38"/>
      <c r="R159" s="38"/>
      <c r="U159" s="38"/>
      <c r="X159" s="38"/>
      <c r="AA159" s="38"/>
      <c r="AD159" s="38"/>
      <c r="AG159" s="38"/>
      <c r="AJ159" s="38"/>
      <c r="AM159" s="38"/>
      <c r="AP159" s="38"/>
    </row>
    <row r="160" spans="9:42" x14ac:dyDescent="0.2">
      <c r="I160" s="38"/>
      <c r="L160" s="38"/>
      <c r="O160" s="38"/>
      <c r="R160" s="38"/>
      <c r="U160" s="38"/>
      <c r="X160" s="38"/>
      <c r="AA160" s="38"/>
      <c r="AD160" s="38"/>
      <c r="AG160" s="38"/>
      <c r="AJ160" s="38"/>
      <c r="AM160" s="38"/>
      <c r="AP160" s="38"/>
    </row>
    <row r="161" spans="9:42" x14ac:dyDescent="0.2">
      <c r="I161" s="38"/>
      <c r="L161" s="38"/>
      <c r="O161" s="38"/>
      <c r="R161" s="38"/>
      <c r="U161" s="38"/>
      <c r="X161" s="38"/>
      <c r="AA161" s="38"/>
      <c r="AD161" s="38"/>
      <c r="AG161" s="38"/>
      <c r="AJ161" s="38"/>
      <c r="AM161" s="38"/>
      <c r="AP161" s="38"/>
    </row>
    <row r="162" spans="9:42" x14ac:dyDescent="0.2">
      <c r="I162" s="38"/>
      <c r="L162" s="38"/>
      <c r="O162" s="38"/>
      <c r="R162" s="38"/>
      <c r="U162" s="38"/>
      <c r="X162" s="38"/>
      <c r="AA162" s="38"/>
      <c r="AD162" s="38"/>
      <c r="AG162" s="38"/>
      <c r="AJ162" s="38"/>
      <c r="AM162" s="38"/>
      <c r="AP162" s="38"/>
    </row>
    <row r="163" spans="9:42" x14ac:dyDescent="0.2">
      <c r="I163" s="38"/>
      <c r="L163" s="38"/>
      <c r="O163" s="38"/>
      <c r="R163" s="38"/>
      <c r="U163" s="38"/>
      <c r="X163" s="38"/>
      <c r="AA163" s="38"/>
      <c r="AD163" s="38"/>
      <c r="AG163" s="38"/>
      <c r="AJ163" s="38"/>
      <c r="AM163" s="38"/>
      <c r="AP163" s="38"/>
    </row>
    <row r="164" spans="9:42" x14ac:dyDescent="0.2">
      <c r="I164" s="38"/>
      <c r="L164" s="38"/>
      <c r="O164" s="38"/>
      <c r="R164" s="38"/>
      <c r="U164" s="38"/>
      <c r="X164" s="38"/>
      <c r="AA164" s="38"/>
      <c r="AD164" s="38"/>
      <c r="AG164" s="38"/>
      <c r="AJ164" s="38"/>
      <c r="AM164" s="38"/>
      <c r="AP164" s="38"/>
    </row>
    <row r="165" spans="9:42" x14ac:dyDescent="0.2">
      <c r="I165" s="38"/>
      <c r="L165" s="38"/>
      <c r="O165" s="38"/>
      <c r="R165" s="38"/>
      <c r="U165" s="38"/>
      <c r="X165" s="38"/>
      <c r="AA165" s="38"/>
      <c r="AD165" s="38"/>
      <c r="AG165" s="38"/>
      <c r="AJ165" s="38"/>
      <c r="AM165" s="38"/>
      <c r="AP165" s="38"/>
    </row>
    <row r="166" spans="9:42" x14ac:dyDescent="0.2">
      <c r="I166" s="38"/>
      <c r="L166" s="38"/>
      <c r="O166" s="38"/>
      <c r="R166" s="38"/>
      <c r="U166" s="38"/>
      <c r="X166" s="38"/>
      <c r="AA166" s="38"/>
      <c r="AD166" s="38"/>
      <c r="AG166" s="38"/>
      <c r="AJ166" s="38"/>
      <c r="AM166" s="38"/>
      <c r="AP166" s="38"/>
    </row>
    <row r="167" spans="9:42" x14ac:dyDescent="0.2">
      <c r="I167" s="38"/>
      <c r="L167" s="38"/>
      <c r="O167" s="38"/>
      <c r="R167" s="38"/>
      <c r="U167" s="38"/>
      <c r="X167" s="38"/>
      <c r="AA167" s="38"/>
      <c r="AD167" s="38"/>
      <c r="AG167" s="38"/>
      <c r="AJ167" s="38"/>
      <c r="AM167" s="38"/>
      <c r="AP167" s="38"/>
    </row>
    <row r="168" spans="9:42" x14ac:dyDescent="0.2">
      <c r="I168" s="38"/>
      <c r="L168" s="38"/>
      <c r="O168" s="38"/>
      <c r="R168" s="38"/>
      <c r="U168" s="38"/>
      <c r="X168" s="38"/>
      <c r="AA168" s="38"/>
      <c r="AD168" s="38"/>
      <c r="AG168" s="38"/>
      <c r="AJ168" s="38"/>
      <c r="AM168" s="38"/>
      <c r="AP168" s="38"/>
    </row>
    <row r="169" spans="9:42" x14ac:dyDescent="0.2">
      <c r="I169" s="38"/>
      <c r="L169" s="38"/>
      <c r="O169" s="38"/>
      <c r="R169" s="38"/>
      <c r="U169" s="38"/>
      <c r="X169" s="38"/>
      <c r="AA169" s="38"/>
      <c r="AD169" s="38"/>
      <c r="AG169" s="38"/>
      <c r="AJ169" s="38"/>
      <c r="AM169" s="38"/>
      <c r="AP169" s="38"/>
    </row>
    <row r="170" spans="9:42" x14ac:dyDescent="0.2">
      <c r="I170" s="38"/>
      <c r="L170" s="38"/>
      <c r="O170" s="38"/>
      <c r="R170" s="38"/>
      <c r="U170" s="38"/>
      <c r="X170" s="38"/>
      <c r="AA170" s="38"/>
      <c r="AD170" s="38"/>
      <c r="AG170" s="38"/>
      <c r="AJ170" s="38"/>
      <c r="AM170" s="38"/>
      <c r="AP170" s="38"/>
    </row>
    <row r="171" spans="9:42" x14ac:dyDescent="0.2">
      <c r="I171" s="38"/>
      <c r="L171" s="38"/>
      <c r="O171" s="38"/>
      <c r="R171" s="38"/>
      <c r="U171" s="38"/>
      <c r="X171" s="38"/>
      <c r="AA171" s="38"/>
      <c r="AD171" s="38"/>
      <c r="AG171" s="38"/>
      <c r="AJ171" s="38"/>
      <c r="AM171" s="38"/>
      <c r="AP171" s="38"/>
    </row>
    <row r="172" spans="9:42" x14ac:dyDescent="0.2">
      <c r="I172" s="38"/>
      <c r="L172" s="38"/>
      <c r="O172" s="38"/>
      <c r="R172" s="38"/>
      <c r="U172" s="38"/>
      <c r="X172" s="38"/>
      <c r="AA172" s="38"/>
      <c r="AD172" s="38"/>
      <c r="AG172" s="38"/>
      <c r="AJ172" s="38"/>
      <c r="AM172" s="38"/>
      <c r="AP172" s="38"/>
    </row>
    <row r="173" spans="9:42" x14ac:dyDescent="0.2">
      <c r="I173" s="38"/>
      <c r="L173" s="38"/>
      <c r="O173" s="38"/>
      <c r="R173" s="38"/>
      <c r="U173" s="38"/>
      <c r="X173" s="38"/>
      <c r="AA173" s="38"/>
      <c r="AD173" s="38"/>
      <c r="AG173" s="38"/>
      <c r="AJ173" s="38"/>
      <c r="AM173" s="38"/>
      <c r="AP173" s="38"/>
    </row>
    <row r="174" spans="9:42" x14ac:dyDescent="0.2">
      <c r="I174" s="38"/>
      <c r="L174" s="38"/>
      <c r="O174" s="38"/>
      <c r="R174" s="38"/>
      <c r="U174" s="38"/>
      <c r="X174" s="38"/>
      <c r="AA174" s="38"/>
      <c r="AD174" s="38"/>
      <c r="AG174" s="38"/>
      <c r="AJ174" s="38"/>
      <c r="AM174" s="38"/>
      <c r="AP174" s="38"/>
    </row>
    <row r="175" spans="9:42" x14ac:dyDescent="0.2">
      <c r="I175" s="38"/>
      <c r="L175" s="38"/>
      <c r="O175" s="38"/>
      <c r="R175" s="38"/>
      <c r="U175" s="38"/>
      <c r="X175" s="38"/>
      <c r="AA175" s="38"/>
      <c r="AD175" s="38"/>
      <c r="AG175" s="38"/>
      <c r="AJ175" s="38"/>
      <c r="AM175" s="38"/>
      <c r="AP175" s="38"/>
    </row>
    <row r="176" spans="9:42" x14ac:dyDescent="0.2">
      <c r="I176" s="38"/>
      <c r="L176" s="38"/>
      <c r="O176" s="38"/>
      <c r="R176" s="38"/>
      <c r="U176" s="38"/>
      <c r="X176" s="38"/>
      <c r="AA176" s="38"/>
      <c r="AD176" s="38"/>
      <c r="AG176" s="38"/>
      <c r="AJ176" s="38"/>
      <c r="AM176" s="38"/>
      <c r="AP176" s="38"/>
    </row>
    <row r="177" spans="9:42" x14ac:dyDescent="0.2">
      <c r="I177" s="38"/>
      <c r="L177" s="38"/>
      <c r="O177" s="38"/>
      <c r="R177" s="38"/>
      <c r="U177" s="38"/>
      <c r="X177" s="38"/>
      <c r="AA177" s="38"/>
      <c r="AD177" s="38"/>
      <c r="AG177" s="38"/>
      <c r="AJ177" s="38"/>
      <c r="AM177" s="38"/>
      <c r="AP177" s="38"/>
    </row>
    <row r="178" spans="9:42" x14ac:dyDescent="0.2">
      <c r="I178" s="38"/>
      <c r="L178" s="38"/>
      <c r="O178" s="38"/>
      <c r="R178" s="38"/>
      <c r="U178" s="38"/>
      <c r="X178" s="38"/>
      <c r="AA178" s="38"/>
      <c r="AD178" s="38"/>
      <c r="AG178" s="38"/>
      <c r="AJ178" s="38"/>
      <c r="AM178" s="38"/>
      <c r="AP178" s="38"/>
    </row>
    <row r="179" spans="9:42" x14ac:dyDescent="0.2">
      <c r="I179" s="38"/>
      <c r="L179" s="38"/>
      <c r="O179" s="38"/>
      <c r="R179" s="38"/>
      <c r="U179" s="38"/>
      <c r="X179" s="38"/>
      <c r="AA179" s="38"/>
      <c r="AD179" s="38"/>
      <c r="AG179" s="38"/>
      <c r="AJ179" s="38"/>
      <c r="AM179" s="38"/>
      <c r="AP179" s="38"/>
    </row>
    <row r="180" spans="9:42" x14ac:dyDescent="0.2">
      <c r="I180" s="38"/>
      <c r="L180" s="38"/>
      <c r="O180" s="38"/>
      <c r="R180" s="38"/>
      <c r="U180" s="38"/>
      <c r="X180" s="38"/>
      <c r="AA180" s="38"/>
      <c r="AD180" s="38"/>
      <c r="AG180" s="38"/>
      <c r="AJ180" s="38"/>
      <c r="AM180" s="38"/>
      <c r="AP180" s="38"/>
    </row>
    <row r="181" spans="9:42" x14ac:dyDescent="0.2">
      <c r="I181" s="38"/>
      <c r="L181" s="38"/>
      <c r="O181" s="38"/>
      <c r="R181" s="38"/>
      <c r="U181" s="38"/>
      <c r="X181" s="38"/>
      <c r="AA181" s="38"/>
      <c r="AD181" s="38"/>
      <c r="AG181" s="38"/>
      <c r="AJ181" s="38"/>
      <c r="AM181" s="38"/>
      <c r="AP181" s="38"/>
    </row>
    <row r="182" spans="9:42" x14ac:dyDescent="0.2">
      <c r="I182" s="38"/>
      <c r="L182" s="38"/>
      <c r="O182" s="38"/>
      <c r="R182" s="38"/>
      <c r="U182" s="38"/>
      <c r="X182" s="38"/>
      <c r="AA182" s="38"/>
      <c r="AD182" s="38"/>
      <c r="AG182" s="38"/>
      <c r="AJ182" s="38"/>
      <c r="AM182" s="38"/>
      <c r="AP182" s="38"/>
    </row>
    <row r="183" spans="9:42" x14ac:dyDescent="0.2">
      <c r="I183" s="38"/>
      <c r="L183" s="38"/>
      <c r="O183" s="38"/>
      <c r="R183" s="38"/>
      <c r="U183" s="38"/>
      <c r="X183" s="38"/>
      <c r="AA183" s="38"/>
      <c r="AD183" s="38"/>
      <c r="AG183" s="38"/>
      <c r="AJ183" s="38"/>
      <c r="AM183" s="38"/>
      <c r="AP183" s="38"/>
    </row>
    <row r="184" spans="9:42" x14ac:dyDescent="0.2">
      <c r="I184" s="38"/>
      <c r="L184" s="38"/>
      <c r="O184" s="38"/>
      <c r="R184" s="38"/>
      <c r="U184" s="38"/>
      <c r="X184" s="38"/>
      <c r="AA184" s="38"/>
      <c r="AD184" s="38"/>
      <c r="AG184" s="38"/>
      <c r="AJ184" s="38"/>
      <c r="AM184" s="38"/>
      <c r="AP184" s="38"/>
    </row>
    <row r="185" spans="9:42" x14ac:dyDescent="0.2">
      <c r="I185" s="38"/>
      <c r="L185" s="38"/>
      <c r="O185" s="38"/>
      <c r="R185" s="38"/>
      <c r="U185" s="38"/>
      <c r="X185" s="38"/>
      <c r="AA185" s="38"/>
      <c r="AD185" s="38"/>
      <c r="AG185" s="38"/>
      <c r="AJ185" s="38"/>
      <c r="AM185" s="38"/>
      <c r="AP185" s="38"/>
    </row>
    <row r="186" spans="9:42" x14ac:dyDescent="0.2">
      <c r="I186" s="38"/>
      <c r="L186" s="38"/>
      <c r="O186" s="38"/>
      <c r="R186" s="38"/>
      <c r="U186" s="38"/>
      <c r="X186" s="38"/>
      <c r="AA186" s="38"/>
      <c r="AD186" s="38"/>
      <c r="AG186" s="38"/>
      <c r="AJ186" s="38"/>
      <c r="AM186" s="38"/>
      <c r="AP186" s="38"/>
    </row>
    <row r="187" spans="9:42" x14ac:dyDescent="0.2">
      <c r="I187" s="38"/>
      <c r="L187" s="38"/>
      <c r="O187" s="38"/>
      <c r="R187" s="38"/>
      <c r="U187" s="38"/>
      <c r="X187" s="38"/>
      <c r="AA187" s="38"/>
      <c r="AD187" s="38"/>
      <c r="AG187" s="38"/>
      <c r="AJ187" s="38"/>
      <c r="AM187" s="38"/>
      <c r="AP187" s="38"/>
    </row>
    <row r="188" spans="9:42" x14ac:dyDescent="0.2">
      <c r="I188" s="38"/>
      <c r="L188" s="38"/>
      <c r="O188" s="38"/>
      <c r="R188" s="38"/>
      <c r="U188" s="38"/>
      <c r="X188" s="38"/>
      <c r="AA188" s="38"/>
      <c r="AD188" s="38"/>
      <c r="AG188" s="38"/>
      <c r="AJ188" s="38"/>
      <c r="AM188" s="38"/>
      <c r="AP188" s="38"/>
    </row>
    <row r="189" spans="9:42" x14ac:dyDescent="0.2">
      <c r="I189" s="38"/>
      <c r="L189" s="38"/>
      <c r="O189" s="38"/>
      <c r="R189" s="38"/>
      <c r="U189" s="38"/>
      <c r="X189" s="38"/>
      <c r="AA189" s="38"/>
      <c r="AD189" s="38"/>
      <c r="AG189" s="38"/>
      <c r="AJ189" s="38"/>
      <c r="AM189" s="38"/>
      <c r="AP189" s="38"/>
    </row>
    <row r="190" spans="9:42" x14ac:dyDescent="0.2">
      <c r="I190" s="38"/>
      <c r="L190" s="38"/>
      <c r="O190" s="38"/>
      <c r="R190" s="38"/>
      <c r="U190" s="38"/>
      <c r="X190" s="38"/>
      <c r="AA190" s="38"/>
      <c r="AD190" s="38"/>
      <c r="AG190" s="38"/>
      <c r="AJ190" s="38"/>
      <c r="AM190" s="38"/>
      <c r="AP190" s="38"/>
    </row>
    <row r="191" spans="9:42" x14ac:dyDescent="0.2">
      <c r="I191" s="38"/>
      <c r="L191" s="38"/>
      <c r="O191" s="38"/>
      <c r="R191" s="38"/>
      <c r="U191" s="38"/>
      <c r="X191" s="38"/>
      <c r="AA191" s="38"/>
      <c r="AD191" s="38"/>
      <c r="AG191" s="38"/>
      <c r="AJ191" s="38"/>
      <c r="AM191" s="38"/>
      <c r="AP191" s="38"/>
    </row>
    <row r="192" spans="9:42" x14ac:dyDescent="0.2">
      <c r="I192" s="38"/>
      <c r="L192" s="38"/>
      <c r="O192" s="38"/>
      <c r="R192" s="38"/>
      <c r="U192" s="38"/>
      <c r="X192" s="38"/>
      <c r="AA192" s="38"/>
      <c r="AD192" s="38"/>
      <c r="AG192" s="38"/>
      <c r="AJ192" s="38"/>
      <c r="AM192" s="38"/>
      <c r="AP192" s="38"/>
    </row>
    <row r="193" spans="9:42" x14ac:dyDescent="0.2">
      <c r="I193" s="38"/>
      <c r="L193" s="38"/>
      <c r="O193" s="38"/>
      <c r="R193" s="38"/>
      <c r="U193" s="38"/>
      <c r="X193" s="38"/>
      <c r="AA193" s="38"/>
      <c r="AD193" s="38"/>
      <c r="AG193" s="38"/>
      <c r="AJ193" s="38"/>
      <c r="AM193" s="38"/>
      <c r="AP193" s="38"/>
    </row>
    <row r="194" spans="9:42" x14ac:dyDescent="0.2">
      <c r="I194" s="38"/>
      <c r="L194" s="38"/>
      <c r="O194" s="38"/>
      <c r="R194" s="38"/>
      <c r="U194" s="38"/>
      <c r="X194" s="38"/>
      <c r="AA194" s="38"/>
      <c r="AD194" s="38"/>
      <c r="AG194" s="38"/>
      <c r="AJ194" s="38"/>
      <c r="AM194" s="38"/>
      <c r="AP194" s="38"/>
    </row>
    <row r="195" spans="9:42" x14ac:dyDescent="0.2">
      <c r="I195" s="38"/>
      <c r="L195" s="38"/>
      <c r="O195" s="38"/>
      <c r="R195" s="38"/>
      <c r="U195" s="38"/>
      <c r="X195" s="38"/>
      <c r="AA195" s="38"/>
      <c r="AD195" s="38"/>
      <c r="AG195" s="38"/>
      <c r="AJ195" s="38"/>
      <c r="AM195" s="38"/>
      <c r="AP195" s="38"/>
    </row>
    <row r="196" spans="9:42" x14ac:dyDescent="0.2">
      <c r="I196" s="38"/>
      <c r="L196" s="38"/>
      <c r="O196" s="38"/>
      <c r="R196" s="38"/>
      <c r="U196" s="38"/>
      <c r="X196" s="38"/>
      <c r="AA196" s="38"/>
      <c r="AD196" s="38"/>
      <c r="AG196" s="38"/>
      <c r="AJ196" s="38"/>
      <c r="AM196" s="38"/>
      <c r="AP196" s="38"/>
    </row>
    <row r="197" spans="9:42" x14ac:dyDescent="0.2">
      <c r="I197" s="38"/>
      <c r="L197" s="38"/>
      <c r="O197" s="38"/>
      <c r="R197" s="38"/>
      <c r="U197" s="38"/>
      <c r="X197" s="38"/>
      <c r="AA197" s="38"/>
      <c r="AD197" s="38"/>
      <c r="AG197" s="38"/>
      <c r="AJ197" s="38"/>
      <c r="AM197" s="38"/>
      <c r="AP197" s="38"/>
    </row>
    <row r="198" spans="9:42" x14ac:dyDescent="0.2">
      <c r="I198" s="38"/>
      <c r="L198" s="38"/>
      <c r="O198" s="38"/>
      <c r="R198" s="38"/>
      <c r="U198" s="38"/>
      <c r="X198" s="38"/>
      <c r="AA198" s="38"/>
      <c r="AD198" s="38"/>
      <c r="AG198" s="38"/>
      <c r="AJ198" s="38"/>
      <c r="AM198" s="38"/>
      <c r="AP198" s="38"/>
    </row>
    <row r="199" spans="9:42" x14ac:dyDescent="0.2">
      <c r="I199" s="38"/>
      <c r="L199" s="38"/>
      <c r="O199" s="38"/>
      <c r="R199" s="38"/>
      <c r="U199" s="38"/>
      <c r="X199" s="38"/>
      <c r="AA199" s="38"/>
      <c r="AD199" s="38"/>
      <c r="AG199" s="38"/>
      <c r="AJ199" s="38"/>
      <c r="AM199" s="38"/>
      <c r="AP199" s="38"/>
    </row>
    <row r="200" spans="9:42" x14ac:dyDescent="0.2">
      <c r="I200" s="38"/>
      <c r="L200" s="38"/>
      <c r="O200" s="38"/>
      <c r="R200" s="38"/>
      <c r="U200" s="38"/>
      <c r="X200" s="38"/>
      <c r="AA200" s="38"/>
      <c r="AD200" s="38"/>
      <c r="AG200" s="38"/>
      <c r="AJ200" s="38"/>
      <c r="AM200" s="38"/>
      <c r="AP200" s="38"/>
    </row>
    <row r="201" spans="9:42" x14ac:dyDescent="0.2">
      <c r="I201" s="38"/>
      <c r="L201" s="38"/>
      <c r="O201" s="38"/>
      <c r="R201" s="38"/>
      <c r="U201" s="38"/>
      <c r="X201" s="38"/>
      <c r="AA201" s="38"/>
      <c r="AD201" s="38"/>
      <c r="AG201" s="38"/>
      <c r="AJ201" s="38"/>
      <c r="AM201" s="38"/>
      <c r="AP201" s="38"/>
    </row>
    <row r="202" spans="9:42" x14ac:dyDescent="0.2">
      <c r="I202" s="38"/>
      <c r="L202" s="38"/>
      <c r="O202" s="38"/>
      <c r="R202" s="38"/>
      <c r="U202" s="38"/>
      <c r="X202" s="38"/>
      <c r="AA202" s="38"/>
      <c r="AD202" s="38"/>
      <c r="AG202" s="38"/>
      <c r="AJ202" s="38"/>
      <c r="AM202" s="38"/>
      <c r="AP202" s="38"/>
    </row>
    <row r="203" spans="9:42" x14ac:dyDescent="0.2">
      <c r="I203" s="38"/>
      <c r="L203" s="38"/>
      <c r="O203" s="38"/>
      <c r="R203" s="38"/>
      <c r="U203" s="38"/>
      <c r="X203" s="38"/>
      <c r="AA203" s="38"/>
      <c r="AD203" s="38"/>
      <c r="AG203" s="38"/>
      <c r="AJ203" s="38"/>
      <c r="AM203" s="38"/>
      <c r="AP203" s="38"/>
    </row>
    <row r="204" spans="9:42" x14ac:dyDescent="0.2">
      <c r="I204" s="38"/>
      <c r="L204" s="38"/>
      <c r="O204" s="38"/>
      <c r="R204" s="38"/>
      <c r="U204" s="38"/>
      <c r="X204" s="38"/>
      <c r="AA204" s="38"/>
      <c r="AD204" s="38"/>
      <c r="AG204" s="38"/>
      <c r="AJ204" s="38"/>
      <c r="AM204" s="38"/>
      <c r="AP204" s="38"/>
    </row>
    <row r="205" spans="9:42" x14ac:dyDescent="0.2">
      <c r="I205" s="38"/>
      <c r="L205" s="38"/>
      <c r="O205" s="38"/>
      <c r="R205" s="38"/>
      <c r="U205" s="38"/>
      <c r="X205" s="38"/>
      <c r="AA205" s="38"/>
      <c r="AD205" s="38"/>
      <c r="AG205" s="38"/>
      <c r="AJ205" s="38"/>
      <c r="AM205" s="38"/>
      <c r="AP205" s="38"/>
    </row>
    <row r="206" spans="9:42" x14ac:dyDescent="0.2">
      <c r="I206" s="38"/>
      <c r="L206" s="38"/>
      <c r="O206" s="38"/>
      <c r="R206" s="38"/>
      <c r="U206" s="38"/>
      <c r="X206" s="38"/>
      <c r="AA206" s="38"/>
      <c r="AD206" s="38"/>
      <c r="AG206" s="38"/>
      <c r="AJ206" s="38"/>
      <c r="AM206" s="38"/>
      <c r="AP206" s="38"/>
    </row>
    <row r="207" spans="9:42" x14ac:dyDescent="0.2">
      <c r="I207" s="38"/>
      <c r="L207" s="38"/>
      <c r="O207" s="38"/>
      <c r="R207" s="38"/>
      <c r="U207" s="38"/>
      <c r="X207" s="38"/>
      <c r="AA207" s="38"/>
      <c r="AD207" s="38"/>
      <c r="AG207" s="38"/>
      <c r="AJ207" s="38"/>
      <c r="AM207" s="38"/>
      <c r="AP207" s="38"/>
    </row>
    <row r="208" spans="9:42" x14ac:dyDescent="0.2">
      <c r="I208" s="38"/>
      <c r="L208" s="38"/>
      <c r="O208" s="38"/>
      <c r="R208" s="38"/>
      <c r="U208" s="38"/>
      <c r="X208" s="38"/>
      <c r="AA208" s="38"/>
      <c r="AD208" s="38"/>
      <c r="AG208" s="38"/>
      <c r="AJ208" s="38"/>
      <c r="AM208" s="38"/>
      <c r="AP208" s="38"/>
    </row>
    <row r="209" spans="9:42" x14ac:dyDescent="0.2">
      <c r="I209" s="38"/>
      <c r="L209" s="38"/>
      <c r="O209" s="38"/>
      <c r="R209" s="38"/>
      <c r="U209" s="38"/>
      <c r="X209" s="38"/>
      <c r="AA209" s="38"/>
      <c r="AD209" s="38"/>
      <c r="AG209" s="38"/>
      <c r="AJ209" s="38"/>
      <c r="AM209" s="38"/>
      <c r="AP209" s="38"/>
    </row>
    <row r="210" spans="9:42" x14ac:dyDescent="0.2">
      <c r="I210" s="38"/>
      <c r="L210" s="38"/>
      <c r="O210" s="38"/>
      <c r="R210" s="38"/>
      <c r="U210" s="38"/>
      <c r="X210" s="38"/>
      <c r="AA210" s="38"/>
      <c r="AD210" s="38"/>
      <c r="AG210" s="38"/>
      <c r="AJ210" s="38"/>
      <c r="AM210" s="38"/>
      <c r="AP210" s="38"/>
    </row>
    <row r="211" spans="9:42" x14ac:dyDescent="0.2">
      <c r="I211" s="38"/>
      <c r="L211" s="38"/>
      <c r="O211" s="38"/>
      <c r="R211" s="38"/>
      <c r="U211" s="38"/>
      <c r="X211" s="38"/>
      <c r="AA211" s="38"/>
      <c r="AD211" s="38"/>
      <c r="AG211" s="38"/>
      <c r="AJ211" s="38"/>
      <c r="AM211" s="38"/>
      <c r="AP211" s="38"/>
    </row>
    <row r="212" spans="9:42" x14ac:dyDescent="0.2">
      <c r="I212" s="38"/>
      <c r="L212" s="38"/>
      <c r="O212" s="38"/>
      <c r="R212" s="38"/>
      <c r="U212" s="38"/>
      <c r="X212" s="38"/>
      <c r="AA212" s="38"/>
      <c r="AD212" s="38"/>
      <c r="AG212" s="38"/>
      <c r="AJ212" s="38"/>
      <c r="AM212" s="38"/>
      <c r="AP212" s="38"/>
    </row>
    <row r="213" spans="9:42" x14ac:dyDescent="0.2">
      <c r="I213" s="38"/>
      <c r="L213" s="38"/>
      <c r="O213" s="38"/>
      <c r="R213" s="38"/>
      <c r="U213" s="38"/>
      <c r="X213" s="38"/>
      <c r="AA213" s="38"/>
      <c r="AD213" s="38"/>
      <c r="AG213" s="38"/>
      <c r="AJ213" s="38"/>
      <c r="AM213" s="38"/>
      <c r="AP213" s="38"/>
    </row>
    <row r="214" spans="9:42" x14ac:dyDescent="0.2">
      <c r="I214" s="38"/>
      <c r="L214" s="38"/>
      <c r="O214" s="38"/>
      <c r="R214" s="38"/>
      <c r="U214" s="38"/>
      <c r="X214" s="38"/>
      <c r="AA214" s="38"/>
      <c r="AD214" s="38"/>
      <c r="AG214" s="38"/>
      <c r="AJ214" s="38"/>
      <c r="AM214" s="38"/>
      <c r="AP214" s="38"/>
    </row>
    <row r="215" spans="9:42" x14ac:dyDescent="0.2">
      <c r="I215" s="38"/>
      <c r="L215" s="38"/>
      <c r="O215" s="38"/>
      <c r="R215" s="38"/>
      <c r="U215" s="38"/>
      <c r="X215" s="38"/>
      <c r="AA215" s="38"/>
      <c r="AD215" s="38"/>
      <c r="AG215" s="38"/>
      <c r="AJ215" s="38"/>
      <c r="AM215" s="38"/>
      <c r="AP215" s="38"/>
    </row>
    <row r="216" spans="9:42" x14ac:dyDescent="0.2">
      <c r="I216" s="38"/>
      <c r="L216" s="38"/>
      <c r="O216" s="38"/>
      <c r="R216" s="38"/>
      <c r="U216" s="38"/>
      <c r="X216" s="38"/>
      <c r="AA216" s="38"/>
      <c r="AD216" s="38"/>
      <c r="AG216" s="38"/>
      <c r="AJ216" s="38"/>
      <c r="AM216" s="38"/>
      <c r="AP216" s="38"/>
    </row>
    <row r="217" spans="9:42" x14ac:dyDescent="0.2">
      <c r="I217" s="38"/>
      <c r="L217" s="38"/>
      <c r="O217" s="38"/>
      <c r="R217" s="38"/>
      <c r="U217" s="38"/>
      <c r="X217" s="38"/>
      <c r="AA217" s="38"/>
      <c r="AD217" s="38"/>
      <c r="AG217" s="38"/>
      <c r="AJ217" s="38"/>
      <c r="AM217" s="38"/>
      <c r="AP217" s="38"/>
    </row>
    <row r="218" spans="9:42" x14ac:dyDescent="0.2">
      <c r="I218" s="38"/>
      <c r="L218" s="38"/>
      <c r="O218" s="38"/>
      <c r="R218" s="38"/>
      <c r="U218" s="38"/>
      <c r="X218" s="38"/>
      <c r="AA218" s="38"/>
      <c r="AD218" s="38"/>
      <c r="AG218" s="38"/>
      <c r="AJ218" s="38"/>
      <c r="AM218" s="38"/>
      <c r="AP218" s="38"/>
    </row>
    <row r="219" spans="9:42" x14ac:dyDescent="0.2">
      <c r="I219" s="38"/>
      <c r="L219" s="38"/>
      <c r="O219" s="38"/>
      <c r="R219" s="38"/>
      <c r="U219" s="38"/>
      <c r="X219" s="38"/>
      <c r="AA219" s="38"/>
      <c r="AD219" s="38"/>
      <c r="AG219" s="38"/>
      <c r="AJ219" s="38"/>
      <c r="AM219" s="38"/>
      <c r="AP219" s="38"/>
    </row>
    <row r="220" spans="9:42" x14ac:dyDescent="0.2">
      <c r="I220" s="38"/>
      <c r="L220" s="38"/>
      <c r="O220" s="38"/>
      <c r="R220" s="38"/>
      <c r="U220" s="38"/>
      <c r="X220" s="38"/>
      <c r="AA220" s="38"/>
      <c r="AD220" s="38"/>
      <c r="AG220" s="38"/>
      <c r="AJ220" s="38"/>
      <c r="AM220" s="38"/>
      <c r="AP220" s="38"/>
    </row>
    <row r="221" spans="9:42" x14ac:dyDescent="0.2">
      <c r="I221" s="38"/>
      <c r="L221" s="38"/>
      <c r="O221" s="38"/>
      <c r="R221" s="38"/>
      <c r="U221" s="38"/>
      <c r="X221" s="38"/>
      <c r="AA221" s="38"/>
      <c r="AD221" s="38"/>
      <c r="AG221" s="38"/>
      <c r="AJ221" s="38"/>
      <c r="AM221" s="38"/>
      <c r="AP221" s="38"/>
    </row>
    <row r="222" spans="9:42" x14ac:dyDescent="0.2">
      <c r="I222" s="38"/>
      <c r="L222" s="38"/>
      <c r="O222" s="38"/>
      <c r="R222" s="38"/>
      <c r="U222" s="38"/>
      <c r="X222" s="38"/>
      <c r="AA222" s="38"/>
      <c r="AD222" s="38"/>
      <c r="AG222" s="38"/>
      <c r="AJ222" s="38"/>
      <c r="AM222" s="38"/>
      <c r="AP222" s="38"/>
    </row>
    <row r="223" spans="9:42" x14ac:dyDescent="0.2">
      <c r="I223" s="38"/>
      <c r="L223" s="38"/>
      <c r="O223" s="38"/>
      <c r="R223" s="38"/>
      <c r="U223" s="38"/>
      <c r="X223" s="38"/>
      <c r="AA223" s="38"/>
      <c r="AD223" s="38"/>
      <c r="AG223" s="38"/>
      <c r="AJ223" s="38"/>
      <c r="AM223" s="38"/>
      <c r="AP223" s="38"/>
    </row>
    <row r="224" spans="9:42" x14ac:dyDescent="0.2">
      <c r="I224" s="38"/>
      <c r="L224" s="38"/>
      <c r="O224" s="38"/>
      <c r="R224" s="38"/>
      <c r="U224" s="38"/>
      <c r="X224" s="38"/>
      <c r="AA224" s="38"/>
      <c r="AD224" s="38"/>
      <c r="AG224" s="38"/>
      <c r="AJ224" s="38"/>
      <c r="AM224" s="38"/>
      <c r="AP224" s="38"/>
    </row>
    <row r="225" spans="9:42" x14ac:dyDescent="0.2">
      <c r="I225" s="38"/>
      <c r="L225" s="38"/>
      <c r="O225" s="38"/>
      <c r="R225" s="38"/>
      <c r="U225" s="38"/>
      <c r="X225" s="38"/>
      <c r="AA225" s="38"/>
      <c r="AD225" s="38"/>
      <c r="AG225" s="38"/>
      <c r="AJ225" s="38"/>
      <c r="AM225" s="38"/>
      <c r="AP225" s="38"/>
    </row>
    <row r="226" spans="9:42" x14ac:dyDescent="0.2">
      <c r="I226" s="38"/>
      <c r="L226" s="38"/>
      <c r="O226" s="38"/>
      <c r="R226" s="38"/>
      <c r="U226" s="38"/>
      <c r="X226" s="38"/>
      <c r="AA226" s="38"/>
      <c r="AD226" s="38"/>
      <c r="AG226" s="38"/>
      <c r="AJ226" s="38"/>
      <c r="AM226" s="38"/>
      <c r="AP226" s="38"/>
    </row>
    <row r="227" spans="9:42" x14ac:dyDescent="0.2">
      <c r="I227" s="38"/>
      <c r="L227" s="38"/>
      <c r="O227" s="38"/>
      <c r="R227" s="38"/>
      <c r="U227" s="38"/>
      <c r="X227" s="38"/>
      <c r="AA227" s="38"/>
      <c r="AD227" s="38"/>
      <c r="AG227" s="38"/>
      <c r="AJ227" s="38"/>
      <c r="AM227" s="38"/>
      <c r="AP227" s="38"/>
    </row>
    <row r="228" spans="9:42" x14ac:dyDescent="0.2">
      <c r="I228" s="38"/>
      <c r="L228" s="38"/>
      <c r="O228" s="38"/>
      <c r="R228" s="38"/>
      <c r="U228" s="38"/>
      <c r="X228" s="38"/>
      <c r="AA228" s="38"/>
      <c r="AD228" s="38"/>
      <c r="AG228" s="38"/>
      <c r="AJ228" s="38"/>
      <c r="AM228" s="38"/>
      <c r="AP228" s="38"/>
    </row>
    <row r="229" spans="9:42" x14ac:dyDescent="0.2">
      <c r="I229" s="38"/>
      <c r="L229" s="38"/>
      <c r="O229" s="38"/>
      <c r="R229" s="38"/>
      <c r="U229" s="38"/>
      <c r="X229" s="38"/>
      <c r="AA229" s="38"/>
      <c r="AD229" s="38"/>
      <c r="AG229" s="38"/>
      <c r="AJ229" s="38"/>
      <c r="AM229" s="38"/>
      <c r="AP229" s="38"/>
    </row>
    <row r="230" spans="9:42" x14ac:dyDescent="0.2">
      <c r="I230" s="38"/>
      <c r="L230" s="38"/>
      <c r="O230" s="38"/>
      <c r="R230" s="38"/>
      <c r="U230" s="38"/>
      <c r="X230" s="38"/>
      <c r="AA230" s="38"/>
      <c r="AD230" s="38"/>
      <c r="AG230" s="38"/>
      <c r="AJ230" s="38"/>
      <c r="AM230" s="38"/>
      <c r="AP230" s="38"/>
    </row>
    <row r="231" spans="9:42" x14ac:dyDescent="0.2">
      <c r="I231" s="38"/>
      <c r="L231" s="38"/>
      <c r="O231" s="38"/>
      <c r="R231" s="38"/>
      <c r="U231" s="38"/>
      <c r="X231" s="38"/>
      <c r="AA231" s="38"/>
      <c r="AD231" s="38"/>
      <c r="AG231" s="38"/>
      <c r="AJ231" s="38"/>
      <c r="AM231" s="38"/>
      <c r="AP231" s="38"/>
    </row>
    <row r="232" spans="9:42" x14ac:dyDescent="0.2">
      <c r="I232" s="38"/>
      <c r="L232" s="38"/>
      <c r="O232" s="38"/>
      <c r="R232" s="38"/>
      <c r="U232" s="38"/>
      <c r="X232" s="38"/>
      <c r="AA232" s="38"/>
      <c r="AD232" s="38"/>
      <c r="AG232" s="38"/>
      <c r="AJ232" s="38"/>
      <c r="AM232" s="38"/>
      <c r="AP232" s="38"/>
    </row>
    <row r="233" spans="9:42" x14ac:dyDescent="0.2">
      <c r="I233" s="38"/>
      <c r="L233" s="38"/>
      <c r="O233" s="38"/>
      <c r="R233" s="38"/>
      <c r="U233" s="38"/>
      <c r="X233" s="38"/>
      <c r="AA233" s="38"/>
      <c r="AD233" s="38"/>
      <c r="AG233" s="38"/>
      <c r="AJ233" s="38"/>
      <c r="AM233" s="38"/>
      <c r="AP233" s="38"/>
    </row>
    <row r="234" spans="9:42" x14ac:dyDescent="0.2">
      <c r="I234" s="38"/>
      <c r="L234" s="38"/>
      <c r="O234" s="38"/>
      <c r="R234" s="38"/>
      <c r="U234" s="38"/>
      <c r="X234" s="38"/>
      <c r="AA234" s="38"/>
      <c r="AD234" s="38"/>
      <c r="AG234" s="38"/>
      <c r="AJ234" s="38"/>
      <c r="AM234" s="38"/>
      <c r="AP234" s="38"/>
    </row>
    <row r="235" spans="9:42" x14ac:dyDescent="0.2">
      <c r="I235" s="38"/>
      <c r="L235" s="38"/>
      <c r="O235" s="38"/>
      <c r="R235" s="38"/>
      <c r="U235" s="38"/>
      <c r="X235" s="38"/>
      <c r="AA235" s="38"/>
      <c r="AD235" s="38"/>
      <c r="AG235" s="38"/>
      <c r="AJ235" s="38"/>
      <c r="AM235" s="38"/>
      <c r="AP235" s="38"/>
    </row>
    <row r="236" spans="9:42" x14ac:dyDescent="0.2">
      <c r="I236" s="38"/>
      <c r="L236" s="38"/>
      <c r="O236" s="38"/>
      <c r="R236" s="38"/>
      <c r="U236" s="38"/>
      <c r="X236" s="38"/>
      <c r="AA236" s="38"/>
      <c r="AD236" s="38"/>
      <c r="AG236" s="38"/>
      <c r="AJ236" s="38"/>
      <c r="AM236" s="38"/>
      <c r="AP236" s="38"/>
    </row>
    <row r="237" spans="9:42" x14ac:dyDescent="0.2">
      <c r="I237" s="38"/>
      <c r="L237" s="38"/>
      <c r="O237" s="38"/>
      <c r="R237" s="38"/>
      <c r="U237" s="38"/>
      <c r="X237" s="38"/>
      <c r="AA237" s="38"/>
      <c r="AD237" s="38"/>
      <c r="AG237" s="38"/>
      <c r="AJ237" s="38"/>
      <c r="AM237" s="38"/>
      <c r="AP237" s="38"/>
    </row>
    <row r="238" spans="9:42" x14ac:dyDescent="0.2">
      <c r="I238" s="38"/>
      <c r="L238" s="38"/>
      <c r="O238" s="38"/>
      <c r="R238" s="38"/>
      <c r="U238" s="38"/>
      <c r="X238" s="38"/>
      <c r="AA238" s="38"/>
      <c r="AD238" s="38"/>
      <c r="AG238" s="38"/>
      <c r="AJ238" s="38"/>
      <c r="AM238" s="38"/>
      <c r="AP238" s="38"/>
    </row>
    <row r="239" spans="9:42" x14ac:dyDescent="0.2">
      <c r="I239" s="38"/>
      <c r="L239" s="38"/>
      <c r="O239" s="38"/>
      <c r="R239" s="38"/>
      <c r="U239" s="38"/>
      <c r="X239" s="38"/>
      <c r="AA239" s="38"/>
      <c r="AD239" s="38"/>
      <c r="AG239" s="38"/>
      <c r="AJ239" s="38"/>
      <c r="AM239" s="38"/>
      <c r="AP239" s="38"/>
    </row>
    <row r="240" spans="9:42" x14ac:dyDescent="0.2">
      <c r="I240" s="38"/>
      <c r="L240" s="38"/>
      <c r="O240" s="38"/>
      <c r="R240" s="38"/>
      <c r="U240" s="38"/>
      <c r="X240" s="38"/>
      <c r="AA240" s="38"/>
      <c r="AD240" s="38"/>
      <c r="AG240" s="38"/>
      <c r="AJ240" s="38"/>
      <c r="AM240" s="38"/>
      <c r="AP240" s="38"/>
    </row>
    <row r="241" spans="9:42" x14ac:dyDescent="0.2">
      <c r="I241" s="38"/>
      <c r="L241" s="38"/>
      <c r="O241" s="38"/>
      <c r="R241" s="38"/>
      <c r="U241" s="38"/>
      <c r="X241" s="38"/>
      <c r="AA241" s="38"/>
      <c r="AD241" s="38"/>
      <c r="AG241" s="38"/>
      <c r="AJ241" s="38"/>
      <c r="AM241" s="38"/>
      <c r="AP241" s="38"/>
    </row>
    <row r="242" spans="9:42" x14ac:dyDescent="0.2">
      <c r="I242" s="38"/>
      <c r="L242" s="38"/>
      <c r="O242" s="38"/>
      <c r="R242" s="38"/>
      <c r="U242" s="38"/>
      <c r="X242" s="38"/>
      <c r="AA242" s="38"/>
      <c r="AD242" s="38"/>
      <c r="AG242" s="38"/>
      <c r="AJ242" s="38"/>
      <c r="AM242" s="38"/>
      <c r="AP242" s="38"/>
    </row>
    <row r="243" spans="9:42" x14ac:dyDescent="0.2">
      <c r="I243" s="38"/>
      <c r="L243" s="38"/>
      <c r="O243" s="38"/>
      <c r="R243" s="38"/>
      <c r="U243" s="38"/>
      <c r="X243" s="38"/>
      <c r="AA243" s="38"/>
      <c r="AD243" s="38"/>
      <c r="AG243" s="38"/>
      <c r="AJ243" s="38"/>
      <c r="AM243" s="38"/>
      <c r="AP243" s="38"/>
    </row>
    <row r="244" spans="9:42" x14ac:dyDescent="0.2">
      <c r="I244" s="38"/>
      <c r="L244" s="38"/>
      <c r="O244" s="38"/>
      <c r="R244" s="38"/>
      <c r="U244" s="38"/>
      <c r="X244" s="38"/>
      <c r="AA244" s="38"/>
      <c r="AD244" s="38"/>
      <c r="AG244" s="38"/>
      <c r="AJ244" s="38"/>
      <c r="AM244" s="38"/>
      <c r="AP244" s="38"/>
    </row>
    <row r="245" spans="9:42" x14ac:dyDescent="0.2">
      <c r="I245" s="38"/>
      <c r="L245" s="38"/>
      <c r="O245" s="38"/>
      <c r="R245" s="38"/>
      <c r="U245" s="38"/>
      <c r="X245" s="38"/>
      <c r="AA245" s="38"/>
      <c r="AD245" s="38"/>
      <c r="AG245" s="38"/>
      <c r="AJ245" s="38"/>
      <c r="AM245" s="38"/>
      <c r="AP245" s="38"/>
    </row>
    <row r="246" spans="9:42" x14ac:dyDescent="0.2">
      <c r="I246" s="38"/>
      <c r="L246" s="38"/>
      <c r="O246" s="38"/>
      <c r="R246" s="38"/>
      <c r="U246" s="38"/>
      <c r="X246" s="38"/>
      <c r="AA246" s="38"/>
      <c r="AD246" s="38"/>
      <c r="AG246" s="38"/>
      <c r="AJ246" s="38"/>
      <c r="AM246" s="38"/>
      <c r="AP246" s="38"/>
    </row>
    <row r="247" spans="9:42" x14ac:dyDescent="0.2">
      <c r="I247" s="38"/>
      <c r="L247" s="38"/>
      <c r="O247" s="38"/>
      <c r="R247" s="38"/>
      <c r="U247" s="38"/>
      <c r="X247" s="38"/>
      <c r="AA247" s="38"/>
      <c r="AD247" s="38"/>
      <c r="AG247" s="38"/>
      <c r="AJ247" s="38"/>
      <c r="AM247" s="38"/>
      <c r="AP247" s="38"/>
    </row>
    <row r="248" spans="9:42" x14ac:dyDescent="0.2">
      <c r="I248" s="38"/>
      <c r="L248" s="38"/>
      <c r="O248" s="38"/>
      <c r="R248" s="38"/>
      <c r="U248" s="38"/>
      <c r="X248" s="38"/>
      <c r="AA248" s="38"/>
      <c r="AD248" s="38"/>
      <c r="AG248" s="38"/>
      <c r="AJ248" s="38"/>
      <c r="AM248" s="38"/>
      <c r="AP248" s="38"/>
    </row>
    <row r="249" spans="9:42" x14ac:dyDescent="0.2">
      <c r="I249" s="38"/>
      <c r="L249" s="38"/>
      <c r="O249" s="38"/>
      <c r="R249" s="38"/>
      <c r="U249" s="38"/>
      <c r="X249" s="38"/>
      <c r="AA249" s="38"/>
      <c r="AD249" s="38"/>
      <c r="AG249" s="38"/>
      <c r="AJ249" s="38"/>
      <c r="AM249" s="38"/>
      <c r="AP249" s="38"/>
    </row>
    <row r="250" spans="9:42" x14ac:dyDescent="0.2">
      <c r="I250" s="38"/>
      <c r="L250" s="38"/>
      <c r="O250" s="38"/>
      <c r="R250" s="38"/>
      <c r="U250" s="38"/>
      <c r="X250" s="38"/>
      <c r="AA250" s="38"/>
      <c r="AD250" s="38"/>
      <c r="AG250" s="38"/>
      <c r="AJ250" s="38"/>
      <c r="AM250" s="38"/>
      <c r="AP250" s="38"/>
    </row>
    <row r="251" spans="9:42" x14ac:dyDescent="0.2">
      <c r="I251" s="38"/>
      <c r="L251" s="38"/>
      <c r="O251" s="38"/>
      <c r="R251" s="38"/>
      <c r="U251" s="38"/>
      <c r="X251" s="38"/>
      <c r="AA251" s="38"/>
      <c r="AD251" s="38"/>
      <c r="AG251" s="38"/>
      <c r="AJ251" s="38"/>
      <c r="AM251" s="38"/>
      <c r="AP251" s="38"/>
    </row>
    <row r="252" spans="9:42" x14ac:dyDescent="0.2">
      <c r="I252" s="38"/>
      <c r="L252" s="38"/>
      <c r="O252" s="38"/>
      <c r="R252" s="38"/>
      <c r="U252" s="38"/>
      <c r="X252" s="38"/>
      <c r="AA252" s="38"/>
      <c r="AD252" s="38"/>
      <c r="AG252" s="38"/>
      <c r="AJ252" s="38"/>
      <c r="AM252" s="38"/>
      <c r="AP252" s="38"/>
    </row>
    <row r="253" spans="9:42" x14ac:dyDescent="0.2">
      <c r="I253" s="38"/>
      <c r="L253" s="38"/>
      <c r="O253" s="38"/>
      <c r="R253" s="38"/>
      <c r="U253" s="38"/>
      <c r="X253" s="38"/>
      <c r="AA253" s="38"/>
      <c r="AD253" s="38"/>
      <c r="AG253" s="38"/>
      <c r="AJ253" s="38"/>
      <c r="AM253" s="38"/>
      <c r="AP253" s="38"/>
    </row>
    <row r="254" spans="9:42" x14ac:dyDescent="0.2">
      <c r="I254" s="38"/>
      <c r="L254" s="38"/>
      <c r="O254" s="38"/>
      <c r="R254" s="38"/>
      <c r="U254" s="38"/>
      <c r="X254" s="38"/>
      <c r="AA254" s="38"/>
      <c r="AD254" s="38"/>
      <c r="AG254" s="38"/>
      <c r="AJ254" s="38"/>
      <c r="AM254" s="38"/>
      <c r="AP254" s="38"/>
    </row>
    <row r="255" spans="9:42" x14ac:dyDescent="0.2">
      <c r="I255" s="38"/>
      <c r="L255" s="38"/>
      <c r="O255" s="38"/>
      <c r="R255" s="38"/>
      <c r="U255" s="38"/>
      <c r="X255" s="38"/>
      <c r="AA255" s="38"/>
      <c r="AD255" s="38"/>
      <c r="AG255" s="38"/>
      <c r="AJ255" s="38"/>
      <c r="AM255" s="38"/>
      <c r="AP255" s="38"/>
    </row>
    <row r="256" spans="9:42" x14ac:dyDescent="0.2">
      <c r="I256" s="38"/>
      <c r="L256" s="38"/>
      <c r="O256" s="38"/>
      <c r="R256" s="38"/>
      <c r="U256" s="38"/>
      <c r="X256" s="38"/>
      <c r="AA256" s="38"/>
      <c r="AD256" s="38"/>
      <c r="AG256" s="38"/>
      <c r="AJ256" s="38"/>
      <c r="AM256" s="38"/>
      <c r="AP256" s="38"/>
    </row>
    <row r="257" spans="9:42" x14ac:dyDescent="0.2">
      <c r="I257" s="38"/>
      <c r="L257" s="38"/>
      <c r="O257" s="38"/>
      <c r="R257" s="38"/>
      <c r="U257" s="38"/>
      <c r="X257" s="38"/>
      <c r="AA257" s="38"/>
      <c r="AD257" s="38"/>
      <c r="AG257" s="38"/>
      <c r="AJ257" s="38"/>
      <c r="AM257" s="38"/>
      <c r="AP257" s="38"/>
    </row>
    <row r="258" spans="9:42" x14ac:dyDescent="0.2">
      <c r="I258" s="38"/>
      <c r="L258" s="38"/>
      <c r="O258" s="38"/>
      <c r="R258" s="38"/>
      <c r="U258" s="38"/>
      <c r="X258" s="38"/>
      <c r="AA258" s="38"/>
      <c r="AD258" s="38"/>
      <c r="AG258" s="38"/>
      <c r="AJ258" s="38"/>
      <c r="AM258" s="38"/>
      <c r="AP258" s="38"/>
    </row>
    <row r="259" spans="9:42" x14ac:dyDescent="0.2">
      <c r="I259" s="38"/>
      <c r="L259" s="38"/>
      <c r="O259" s="38"/>
      <c r="R259" s="38"/>
      <c r="U259" s="38"/>
      <c r="X259" s="38"/>
      <c r="AA259" s="38"/>
      <c r="AD259" s="38"/>
      <c r="AG259" s="38"/>
      <c r="AJ259" s="38"/>
      <c r="AM259" s="38"/>
      <c r="AP259" s="38"/>
    </row>
    <row r="260" spans="9:42" x14ac:dyDescent="0.2">
      <c r="I260" s="38"/>
      <c r="L260" s="38"/>
      <c r="O260" s="38"/>
      <c r="R260" s="38"/>
      <c r="U260" s="38"/>
      <c r="X260" s="38"/>
      <c r="AA260" s="38"/>
      <c r="AD260" s="38"/>
      <c r="AG260" s="38"/>
      <c r="AJ260" s="38"/>
      <c r="AM260" s="38"/>
      <c r="AP260" s="38"/>
    </row>
    <row r="261" spans="9:42" x14ac:dyDescent="0.2">
      <c r="I261" s="38"/>
      <c r="L261" s="38"/>
      <c r="O261" s="38"/>
      <c r="R261" s="38"/>
      <c r="U261" s="38"/>
      <c r="X261" s="38"/>
      <c r="AA261" s="38"/>
      <c r="AD261" s="38"/>
      <c r="AG261" s="38"/>
      <c r="AJ261" s="38"/>
      <c r="AM261" s="38"/>
      <c r="AP261" s="38"/>
    </row>
    <row r="262" spans="9:42" x14ac:dyDescent="0.2">
      <c r="I262" s="38"/>
      <c r="L262" s="38"/>
      <c r="O262" s="38"/>
      <c r="R262" s="38"/>
      <c r="U262" s="38"/>
      <c r="X262" s="38"/>
      <c r="AA262" s="38"/>
      <c r="AD262" s="38"/>
      <c r="AG262" s="38"/>
      <c r="AJ262" s="38"/>
      <c r="AM262" s="38"/>
      <c r="AP262" s="38"/>
    </row>
    <row r="263" spans="9:42" x14ac:dyDescent="0.2">
      <c r="I263" s="38"/>
      <c r="L263" s="38"/>
      <c r="O263" s="38"/>
      <c r="R263" s="38"/>
      <c r="U263" s="38"/>
      <c r="X263" s="38"/>
      <c r="AA263" s="38"/>
      <c r="AD263" s="38"/>
      <c r="AG263" s="38"/>
      <c r="AJ263" s="38"/>
      <c r="AM263" s="38"/>
      <c r="AP263" s="38"/>
    </row>
    <row r="264" spans="9:42" x14ac:dyDescent="0.2">
      <c r="I264" s="38"/>
      <c r="L264" s="38"/>
      <c r="O264" s="38"/>
      <c r="R264" s="38"/>
      <c r="U264" s="38"/>
      <c r="X264" s="38"/>
      <c r="AA264" s="38"/>
      <c r="AD264" s="38"/>
      <c r="AG264" s="38"/>
      <c r="AJ264" s="38"/>
      <c r="AM264" s="38"/>
      <c r="AP264" s="38"/>
    </row>
    <row r="265" spans="9:42" x14ac:dyDescent="0.2">
      <c r="I265" s="38"/>
      <c r="L265" s="38"/>
      <c r="O265" s="38"/>
      <c r="R265" s="38"/>
      <c r="U265" s="38"/>
      <c r="X265" s="38"/>
      <c r="AA265" s="38"/>
      <c r="AD265" s="38"/>
      <c r="AG265" s="38"/>
      <c r="AJ265" s="38"/>
      <c r="AM265" s="38"/>
      <c r="AP265" s="38"/>
    </row>
    <row r="266" spans="9:42" x14ac:dyDescent="0.2">
      <c r="I266" s="38"/>
      <c r="L266" s="38"/>
      <c r="O266" s="38"/>
      <c r="R266" s="38"/>
      <c r="U266" s="38"/>
      <c r="X266" s="38"/>
      <c r="AA266" s="38"/>
      <c r="AD266" s="38"/>
      <c r="AG266" s="38"/>
      <c r="AJ266" s="38"/>
      <c r="AM266" s="38"/>
      <c r="AP266" s="38"/>
    </row>
    <row r="267" spans="9:42" x14ac:dyDescent="0.2">
      <c r="I267" s="38"/>
      <c r="L267" s="38"/>
      <c r="O267" s="38"/>
      <c r="R267" s="38"/>
      <c r="U267" s="38"/>
      <c r="X267" s="38"/>
      <c r="AA267" s="38"/>
      <c r="AD267" s="38"/>
      <c r="AG267" s="38"/>
      <c r="AJ267" s="38"/>
      <c r="AM267" s="38"/>
      <c r="AP267" s="38"/>
    </row>
    <row r="268" spans="9:42" x14ac:dyDescent="0.2">
      <c r="I268" s="38"/>
      <c r="L268" s="38"/>
      <c r="O268" s="38"/>
      <c r="R268" s="38"/>
      <c r="U268" s="38"/>
      <c r="X268" s="38"/>
      <c r="AA268" s="38"/>
      <c r="AD268" s="38"/>
      <c r="AG268" s="38"/>
      <c r="AJ268" s="38"/>
      <c r="AM268" s="38"/>
      <c r="AP268" s="38"/>
    </row>
    <row r="269" spans="9:42" x14ac:dyDescent="0.2">
      <c r="I269" s="38"/>
      <c r="L269" s="38"/>
      <c r="O269" s="38"/>
      <c r="R269" s="38"/>
      <c r="U269" s="38"/>
      <c r="X269" s="38"/>
      <c r="AA269" s="38"/>
      <c r="AD269" s="38"/>
      <c r="AG269" s="38"/>
      <c r="AJ269" s="38"/>
      <c r="AM269" s="38"/>
      <c r="AP269" s="38"/>
    </row>
    <row r="270" spans="9:42" x14ac:dyDescent="0.2">
      <c r="I270" s="38"/>
      <c r="L270" s="38"/>
      <c r="O270" s="38"/>
      <c r="R270" s="38"/>
      <c r="U270" s="38"/>
      <c r="X270" s="38"/>
      <c r="AA270" s="38"/>
      <c r="AD270" s="38"/>
      <c r="AG270" s="38"/>
      <c r="AJ270" s="38"/>
      <c r="AM270" s="38"/>
      <c r="AP270" s="38"/>
    </row>
    <row r="271" spans="9:42" x14ac:dyDescent="0.2">
      <c r="I271" s="38"/>
      <c r="L271" s="38"/>
      <c r="O271" s="38"/>
      <c r="R271" s="38"/>
      <c r="U271" s="38"/>
      <c r="X271" s="38"/>
      <c r="AA271" s="38"/>
      <c r="AD271" s="38"/>
      <c r="AG271" s="38"/>
      <c r="AJ271" s="38"/>
      <c r="AM271" s="38"/>
      <c r="AP271" s="38"/>
    </row>
    <row r="272" spans="9:42" x14ac:dyDescent="0.2">
      <c r="I272" s="38"/>
      <c r="L272" s="38"/>
      <c r="O272" s="38"/>
      <c r="R272" s="38"/>
      <c r="U272" s="38"/>
      <c r="X272" s="38"/>
      <c r="AA272" s="38"/>
      <c r="AD272" s="38"/>
      <c r="AG272" s="38"/>
      <c r="AJ272" s="38"/>
      <c r="AM272" s="38"/>
      <c r="AP272" s="38"/>
    </row>
    <row r="273" spans="9:42" x14ac:dyDescent="0.2">
      <c r="I273" s="38"/>
      <c r="L273" s="38"/>
      <c r="O273" s="38"/>
      <c r="R273" s="38"/>
      <c r="U273" s="38"/>
      <c r="X273" s="38"/>
      <c r="AA273" s="38"/>
      <c r="AD273" s="38"/>
      <c r="AG273" s="38"/>
      <c r="AJ273" s="38"/>
      <c r="AM273" s="38"/>
      <c r="AP273" s="38"/>
    </row>
    <row r="274" spans="9:42" x14ac:dyDescent="0.2">
      <c r="I274" s="38"/>
      <c r="L274" s="38"/>
      <c r="O274" s="38"/>
      <c r="R274" s="38"/>
      <c r="U274" s="38"/>
      <c r="X274" s="38"/>
      <c r="AA274" s="38"/>
      <c r="AD274" s="38"/>
      <c r="AG274" s="38"/>
      <c r="AJ274" s="38"/>
      <c r="AM274" s="38"/>
      <c r="AP274" s="38"/>
    </row>
    <row r="275" spans="9:42" x14ac:dyDescent="0.2">
      <c r="I275" s="38"/>
      <c r="L275" s="38"/>
      <c r="O275" s="38"/>
      <c r="R275" s="38"/>
      <c r="U275" s="38"/>
      <c r="X275" s="38"/>
      <c r="AA275" s="38"/>
      <c r="AD275" s="38"/>
      <c r="AG275" s="38"/>
      <c r="AJ275" s="38"/>
      <c r="AM275" s="38"/>
      <c r="AP275" s="38"/>
    </row>
    <row r="276" spans="9:42" x14ac:dyDescent="0.2">
      <c r="I276" s="38"/>
      <c r="L276" s="38"/>
      <c r="O276" s="38"/>
      <c r="R276" s="38"/>
      <c r="U276" s="38"/>
      <c r="X276" s="38"/>
      <c r="AA276" s="38"/>
      <c r="AD276" s="38"/>
      <c r="AG276" s="38"/>
      <c r="AJ276" s="38"/>
      <c r="AM276" s="38"/>
      <c r="AP276" s="38"/>
    </row>
    <row r="277" spans="9:42" x14ac:dyDescent="0.2">
      <c r="I277" s="38"/>
      <c r="L277" s="38"/>
      <c r="O277" s="38"/>
      <c r="R277" s="38"/>
      <c r="U277" s="38"/>
      <c r="X277" s="38"/>
      <c r="AA277" s="38"/>
      <c r="AD277" s="38"/>
      <c r="AG277" s="38"/>
      <c r="AJ277" s="38"/>
      <c r="AM277" s="38"/>
      <c r="AP277" s="38"/>
    </row>
    <row r="278" spans="9:42" x14ac:dyDescent="0.2">
      <c r="I278" s="38"/>
      <c r="L278" s="38"/>
      <c r="O278" s="38"/>
      <c r="R278" s="38"/>
      <c r="U278" s="38"/>
      <c r="X278" s="38"/>
      <c r="AA278" s="38"/>
      <c r="AD278" s="38"/>
      <c r="AG278" s="38"/>
      <c r="AJ278" s="38"/>
      <c r="AM278" s="38"/>
      <c r="AP278" s="38"/>
    </row>
    <row r="279" spans="9:42" x14ac:dyDescent="0.2">
      <c r="I279" s="38"/>
      <c r="L279" s="38"/>
      <c r="O279" s="38"/>
      <c r="R279" s="38"/>
      <c r="U279" s="38"/>
      <c r="X279" s="38"/>
      <c r="AA279" s="38"/>
      <c r="AD279" s="38"/>
      <c r="AG279" s="38"/>
      <c r="AJ279" s="38"/>
      <c r="AM279" s="38"/>
      <c r="AP279" s="38"/>
    </row>
    <row r="280" spans="9:42" x14ac:dyDescent="0.2">
      <c r="I280" s="38"/>
      <c r="L280" s="38"/>
      <c r="O280" s="38"/>
      <c r="R280" s="38"/>
      <c r="U280" s="38"/>
      <c r="X280" s="38"/>
      <c r="AA280" s="38"/>
      <c r="AD280" s="38"/>
      <c r="AG280" s="38"/>
      <c r="AJ280" s="38"/>
      <c r="AM280" s="38"/>
      <c r="AP280" s="38"/>
    </row>
    <row r="281" spans="9:42" x14ac:dyDescent="0.2">
      <c r="I281" s="38"/>
      <c r="L281" s="38"/>
      <c r="O281" s="38"/>
      <c r="R281" s="38"/>
      <c r="U281" s="38"/>
      <c r="X281" s="38"/>
      <c r="AA281" s="38"/>
      <c r="AD281" s="38"/>
      <c r="AG281" s="38"/>
      <c r="AJ281" s="38"/>
      <c r="AM281" s="38"/>
      <c r="AP281" s="38"/>
    </row>
    <row r="282" spans="9:42" x14ac:dyDescent="0.2">
      <c r="I282" s="38"/>
      <c r="L282" s="38"/>
      <c r="O282" s="38"/>
      <c r="R282" s="38"/>
      <c r="U282" s="38"/>
      <c r="X282" s="38"/>
      <c r="AA282" s="38"/>
      <c r="AD282" s="38"/>
      <c r="AG282" s="38"/>
      <c r="AJ282" s="38"/>
      <c r="AM282" s="38"/>
      <c r="AP282" s="38"/>
    </row>
    <row r="283" spans="9:42" x14ac:dyDescent="0.2">
      <c r="I283" s="38"/>
      <c r="L283" s="38"/>
      <c r="O283" s="38"/>
      <c r="R283" s="38"/>
      <c r="U283" s="38"/>
      <c r="X283" s="38"/>
      <c r="AA283" s="38"/>
      <c r="AD283" s="38"/>
      <c r="AG283" s="38"/>
      <c r="AJ283" s="38"/>
      <c r="AM283" s="38"/>
      <c r="AP283" s="38"/>
    </row>
    <row r="284" spans="9:42" x14ac:dyDescent="0.2">
      <c r="I284" s="38"/>
      <c r="L284" s="38"/>
      <c r="O284" s="38"/>
      <c r="R284" s="38"/>
      <c r="U284" s="38"/>
      <c r="X284" s="38"/>
      <c r="AA284" s="38"/>
      <c r="AD284" s="38"/>
      <c r="AG284" s="38"/>
      <c r="AJ284" s="38"/>
      <c r="AM284" s="38"/>
      <c r="AP284" s="38"/>
    </row>
    <row r="285" spans="9:42" x14ac:dyDescent="0.2">
      <c r="I285" s="38"/>
      <c r="L285" s="38"/>
      <c r="O285" s="38"/>
      <c r="R285" s="38"/>
      <c r="U285" s="38"/>
      <c r="X285" s="38"/>
      <c r="AA285" s="38"/>
      <c r="AD285" s="38"/>
      <c r="AG285" s="38"/>
      <c r="AJ285" s="38"/>
      <c r="AM285" s="38"/>
      <c r="AP285" s="38"/>
    </row>
    <row r="286" spans="9:42" x14ac:dyDescent="0.2">
      <c r="I286" s="38"/>
      <c r="L286" s="38"/>
      <c r="O286" s="38"/>
      <c r="R286" s="38"/>
      <c r="U286" s="38"/>
      <c r="X286" s="38"/>
      <c r="AA286" s="38"/>
      <c r="AD286" s="38"/>
      <c r="AG286" s="38"/>
      <c r="AJ286" s="38"/>
      <c r="AM286" s="38"/>
      <c r="AP286" s="38"/>
    </row>
    <row r="287" spans="9:42" x14ac:dyDescent="0.2">
      <c r="I287" s="38"/>
      <c r="L287" s="38"/>
      <c r="O287" s="38"/>
      <c r="R287" s="38"/>
      <c r="U287" s="38"/>
      <c r="X287" s="38"/>
      <c r="AA287" s="38"/>
      <c r="AD287" s="38"/>
      <c r="AG287" s="38"/>
      <c r="AJ287" s="38"/>
      <c r="AM287" s="38"/>
      <c r="AP287" s="38"/>
    </row>
    <row r="288" spans="9:42" x14ac:dyDescent="0.2">
      <c r="I288" s="38"/>
      <c r="L288" s="38"/>
      <c r="O288" s="38"/>
      <c r="R288" s="38"/>
      <c r="U288" s="38"/>
      <c r="X288" s="38"/>
      <c r="AA288" s="38"/>
      <c r="AD288" s="38"/>
      <c r="AG288" s="38"/>
      <c r="AJ288" s="38"/>
      <c r="AM288" s="38"/>
      <c r="AP288" s="38"/>
    </row>
    <row r="289" spans="9:42" x14ac:dyDescent="0.2">
      <c r="I289" s="38"/>
      <c r="L289" s="38"/>
      <c r="O289" s="38"/>
      <c r="R289" s="38"/>
      <c r="U289" s="38"/>
      <c r="X289" s="38"/>
      <c r="AA289" s="38"/>
      <c r="AD289" s="38"/>
      <c r="AG289" s="38"/>
      <c r="AJ289" s="38"/>
      <c r="AM289" s="38"/>
      <c r="AP289" s="38"/>
    </row>
    <row r="290" spans="9:42" x14ac:dyDescent="0.2">
      <c r="I290" s="38"/>
      <c r="L290" s="38"/>
      <c r="O290" s="38"/>
      <c r="R290" s="38"/>
      <c r="U290" s="38"/>
      <c r="X290" s="38"/>
      <c r="AA290" s="38"/>
      <c r="AD290" s="38"/>
      <c r="AG290" s="38"/>
      <c r="AJ290" s="38"/>
      <c r="AM290" s="38"/>
      <c r="AP290" s="38"/>
    </row>
    <row r="291" spans="9:42" x14ac:dyDescent="0.2">
      <c r="I291" s="38"/>
      <c r="L291" s="38"/>
      <c r="O291" s="38"/>
      <c r="R291" s="38"/>
      <c r="U291" s="38"/>
      <c r="X291" s="38"/>
      <c r="AA291" s="38"/>
      <c r="AD291" s="38"/>
      <c r="AG291" s="38"/>
      <c r="AJ291" s="38"/>
      <c r="AM291" s="38"/>
      <c r="AP291" s="38"/>
    </row>
    <row r="292" spans="9:42" x14ac:dyDescent="0.2">
      <c r="I292" s="38"/>
      <c r="L292" s="38"/>
      <c r="O292" s="38"/>
      <c r="R292" s="38"/>
      <c r="U292" s="38"/>
      <c r="X292" s="38"/>
      <c r="AA292" s="38"/>
      <c r="AD292" s="38"/>
      <c r="AG292" s="38"/>
      <c r="AJ292" s="38"/>
      <c r="AM292" s="38"/>
      <c r="AP292" s="38"/>
    </row>
    <row r="293" spans="9:42" x14ac:dyDescent="0.2">
      <c r="I293" s="38"/>
      <c r="L293" s="38"/>
      <c r="O293" s="38"/>
      <c r="R293" s="38"/>
      <c r="U293" s="38"/>
      <c r="X293" s="38"/>
      <c r="AA293" s="38"/>
      <c r="AD293" s="38"/>
      <c r="AG293" s="38"/>
      <c r="AJ293" s="38"/>
      <c r="AM293" s="38"/>
      <c r="AP293" s="38"/>
    </row>
    <row r="294" spans="9:42" x14ac:dyDescent="0.2">
      <c r="I294" s="38"/>
      <c r="L294" s="38"/>
      <c r="O294" s="38"/>
      <c r="R294" s="38"/>
      <c r="U294" s="38"/>
      <c r="X294" s="38"/>
      <c r="AA294" s="38"/>
      <c r="AD294" s="38"/>
      <c r="AG294" s="38"/>
      <c r="AJ294" s="38"/>
      <c r="AM294" s="38"/>
      <c r="AP294" s="38"/>
    </row>
    <row r="295" spans="9:42" x14ac:dyDescent="0.2">
      <c r="I295" s="38"/>
      <c r="L295" s="38"/>
      <c r="O295" s="38"/>
      <c r="R295" s="38"/>
      <c r="U295" s="38"/>
      <c r="X295" s="38"/>
      <c r="AA295" s="38"/>
      <c r="AD295" s="38"/>
      <c r="AG295" s="38"/>
      <c r="AJ295" s="38"/>
      <c r="AM295" s="38"/>
      <c r="AP295" s="38"/>
    </row>
    <row r="296" spans="9:42" x14ac:dyDescent="0.2">
      <c r="I296" s="38"/>
      <c r="L296" s="38"/>
      <c r="O296" s="38"/>
      <c r="R296" s="38"/>
      <c r="U296" s="38"/>
      <c r="X296" s="38"/>
      <c r="AA296" s="38"/>
      <c r="AD296" s="38"/>
      <c r="AG296" s="38"/>
      <c r="AJ296" s="38"/>
      <c r="AM296" s="38"/>
      <c r="AP296" s="38"/>
    </row>
    <row r="297" spans="9:42" x14ac:dyDescent="0.2">
      <c r="I297" s="38"/>
      <c r="L297" s="38"/>
      <c r="O297" s="38"/>
      <c r="R297" s="38"/>
      <c r="U297" s="38"/>
      <c r="X297" s="38"/>
      <c r="AA297" s="38"/>
      <c r="AD297" s="38"/>
      <c r="AG297" s="38"/>
      <c r="AJ297" s="38"/>
      <c r="AM297" s="38"/>
      <c r="AP297" s="38"/>
    </row>
    <row r="298" spans="9:42" x14ac:dyDescent="0.2">
      <c r="I298" s="38"/>
      <c r="L298" s="38"/>
      <c r="O298" s="38"/>
      <c r="R298" s="38"/>
      <c r="U298" s="38"/>
      <c r="X298" s="38"/>
      <c r="AA298" s="38"/>
      <c r="AD298" s="38"/>
      <c r="AG298" s="38"/>
      <c r="AJ298" s="38"/>
      <c r="AM298" s="38"/>
      <c r="AP298" s="38"/>
    </row>
    <row r="299" spans="9:42" x14ac:dyDescent="0.2">
      <c r="I299" s="38"/>
      <c r="L299" s="38"/>
      <c r="O299" s="38"/>
      <c r="R299" s="38"/>
      <c r="U299" s="38"/>
      <c r="X299" s="38"/>
      <c r="AA299" s="38"/>
      <c r="AD299" s="38"/>
      <c r="AG299" s="38"/>
      <c r="AJ299" s="38"/>
      <c r="AM299" s="38"/>
      <c r="AP299" s="38"/>
    </row>
    <row r="300" spans="9:42" x14ac:dyDescent="0.2">
      <c r="I300" s="38"/>
      <c r="L300" s="38"/>
      <c r="O300" s="38"/>
      <c r="R300" s="38"/>
      <c r="U300" s="38"/>
      <c r="X300" s="38"/>
      <c r="AA300" s="38"/>
      <c r="AD300" s="38"/>
      <c r="AG300" s="38"/>
      <c r="AJ300" s="38"/>
      <c r="AM300" s="38"/>
      <c r="AP300" s="38"/>
    </row>
    <row r="301" spans="9:42" x14ac:dyDescent="0.2">
      <c r="I301" s="38"/>
      <c r="L301" s="38"/>
      <c r="O301" s="38"/>
      <c r="R301" s="38"/>
      <c r="U301" s="38"/>
      <c r="X301" s="38"/>
      <c r="AA301" s="38"/>
      <c r="AD301" s="38"/>
      <c r="AG301" s="38"/>
      <c r="AJ301" s="38"/>
      <c r="AM301" s="38"/>
      <c r="AP301" s="38"/>
    </row>
    <row r="302" spans="9:42" x14ac:dyDescent="0.2">
      <c r="I302" s="38"/>
      <c r="L302" s="38"/>
      <c r="O302" s="38"/>
      <c r="R302" s="38"/>
      <c r="U302" s="38"/>
      <c r="X302" s="38"/>
      <c r="AA302" s="38"/>
      <c r="AD302" s="38"/>
      <c r="AG302" s="38"/>
      <c r="AJ302" s="38"/>
      <c r="AM302" s="38"/>
      <c r="AP302" s="38"/>
    </row>
    <row r="303" spans="9:42" x14ac:dyDescent="0.2">
      <c r="I303" s="38"/>
      <c r="L303" s="38"/>
      <c r="O303" s="38"/>
      <c r="R303" s="38"/>
      <c r="U303" s="38"/>
      <c r="X303" s="38"/>
      <c r="AA303" s="38"/>
      <c r="AD303" s="38"/>
      <c r="AG303" s="38"/>
      <c r="AJ303" s="38"/>
      <c r="AM303" s="38"/>
      <c r="AP303" s="38"/>
    </row>
    <row r="304" spans="9:42" x14ac:dyDescent="0.2">
      <c r="I304" s="38"/>
      <c r="L304" s="38"/>
      <c r="O304" s="38"/>
      <c r="R304" s="38"/>
      <c r="U304" s="38"/>
      <c r="X304" s="38"/>
      <c r="AA304" s="38"/>
      <c r="AD304" s="38"/>
      <c r="AG304" s="38"/>
      <c r="AJ304" s="38"/>
      <c r="AM304" s="38"/>
      <c r="AP304" s="38"/>
    </row>
    <row r="305" spans="9:42" x14ac:dyDescent="0.2">
      <c r="I305" s="38"/>
      <c r="L305" s="38"/>
      <c r="O305" s="38"/>
      <c r="R305" s="38"/>
      <c r="U305" s="38"/>
      <c r="X305" s="38"/>
      <c r="AA305" s="38"/>
      <c r="AD305" s="38"/>
      <c r="AG305" s="38"/>
      <c r="AJ305" s="38"/>
      <c r="AM305" s="38"/>
      <c r="AP305" s="38"/>
    </row>
    <row r="306" spans="9:42" x14ac:dyDescent="0.2">
      <c r="I306" s="38"/>
      <c r="L306" s="38"/>
      <c r="O306" s="38"/>
      <c r="R306" s="38"/>
      <c r="U306" s="38"/>
      <c r="X306" s="38"/>
      <c r="AA306" s="38"/>
      <c r="AD306" s="38"/>
      <c r="AG306" s="38"/>
      <c r="AJ306" s="38"/>
      <c r="AM306" s="38"/>
      <c r="AP306" s="38"/>
    </row>
    <row r="307" spans="9:42" x14ac:dyDescent="0.2">
      <c r="I307" s="38"/>
      <c r="L307" s="38"/>
      <c r="O307" s="38"/>
      <c r="R307" s="38"/>
      <c r="U307" s="38"/>
      <c r="X307" s="38"/>
      <c r="AA307" s="38"/>
      <c r="AD307" s="38"/>
      <c r="AG307" s="38"/>
      <c r="AJ307" s="38"/>
      <c r="AM307" s="38"/>
      <c r="AP307" s="38"/>
    </row>
    <row r="308" spans="9:42" x14ac:dyDescent="0.2">
      <c r="I308" s="38"/>
      <c r="L308" s="38"/>
      <c r="O308" s="38"/>
      <c r="R308" s="38"/>
      <c r="U308" s="38"/>
      <c r="X308" s="38"/>
      <c r="AA308" s="38"/>
      <c r="AD308" s="38"/>
      <c r="AG308" s="38"/>
      <c r="AJ308" s="38"/>
      <c r="AM308" s="38"/>
      <c r="AP308" s="38"/>
    </row>
    <row r="309" spans="9:42" x14ac:dyDescent="0.2">
      <c r="I309" s="38"/>
      <c r="L309" s="38"/>
      <c r="O309" s="38"/>
      <c r="R309" s="38"/>
      <c r="U309" s="38"/>
      <c r="X309" s="38"/>
      <c r="AA309" s="38"/>
      <c r="AD309" s="38"/>
      <c r="AG309" s="38"/>
      <c r="AJ309" s="38"/>
      <c r="AM309" s="38"/>
      <c r="AP309" s="38"/>
    </row>
    <row r="310" spans="9:42" x14ac:dyDescent="0.2">
      <c r="I310" s="38"/>
      <c r="L310" s="38"/>
      <c r="O310" s="38"/>
      <c r="R310" s="38"/>
      <c r="U310" s="38"/>
      <c r="X310" s="38"/>
      <c r="AA310" s="38"/>
      <c r="AD310" s="38"/>
      <c r="AG310" s="38"/>
      <c r="AJ310" s="38"/>
      <c r="AM310" s="38"/>
      <c r="AP310" s="38"/>
    </row>
    <row r="311" spans="9:42" x14ac:dyDescent="0.2">
      <c r="I311" s="38"/>
      <c r="L311" s="38"/>
      <c r="O311" s="38"/>
      <c r="R311" s="38"/>
      <c r="U311" s="38"/>
      <c r="X311" s="38"/>
      <c r="AA311" s="38"/>
      <c r="AD311" s="38"/>
      <c r="AG311" s="38"/>
      <c r="AJ311" s="38"/>
      <c r="AM311" s="38"/>
      <c r="AP311" s="38"/>
    </row>
    <row r="312" spans="9:42" x14ac:dyDescent="0.2">
      <c r="I312" s="38"/>
      <c r="L312" s="38"/>
      <c r="O312" s="38"/>
      <c r="R312" s="38"/>
      <c r="U312" s="38"/>
      <c r="X312" s="38"/>
      <c r="AA312" s="38"/>
      <c r="AD312" s="38"/>
      <c r="AG312" s="38"/>
      <c r="AJ312" s="38"/>
      <c r="AM312" s="38"/>
      <c r="AP312" s="38"/>
    </row>
    <row r="313" spans="9:42" x14ac:dyDescent="0.2">
      <c r="I313" s="38"/>
      <c r="L313" s="38"/>
      <c r="O313" s="38"/>
      <c r="R313" s="38"/>
      <c r="U313" s="38"/>
      <c r="X313" s="38"/>
      <c r="AA313" s="38"/>
      <c r="AD313" s="38"/>
      <c r="AG313" s="38"/>
      <c r="AJ313" s="38"/>
      <c r="AM313" s="38"/>
      <c r="AP313" s="38"/>
    </row>
    <row r="314" spans="9:42" x14ac:dyDescent="0.2">
      <c r="I314" s="38"/>
      <c r="L314" s="38"/>
      <c r="O314" s="38"/>
      <c r="R314" s="38"/>
      <c r="U314" s="38"/>
      <c r="X314" s="38"/>
      <c r="AA314" s="38"/>
      <c r="AD314" s="38"/>
      <c r="AG314" s="38"/>
      <c r="AJ314" s="38"/>
      <c r="AM314" s="38"/>
      <c r="AP314" s="38"/>
    </row>
    <row r="315" spans="9:42" x14ac:dyDescent="0.2">
      <c r="I315" s="38"/>
      <c r="L315" s="38"/>
      <c r="O315" s="38"/>
      <c r="R315" s="38"/>
      <c r="U315" s="38"/>
      <c r="X315" s="38"/>
      <c r="AA315" s="38"/>
      <c r="AD315" s="38"/>
      <c r="AG315" s="38"/>
      <c r="AJ315" s="38"/>
      <c r="AM315" s="38"/>
      <c r="AP315" s="38"/>
    </row>
    <row r="316" spans="9:42" x14ac:dyDescent="0.2">
      <c r="I316" s="38"/>
      <c r="L316" s="38"/>
      <c r="O316" s="38"/>
      <c r="R316" s="38"/>
      <c r="U316" s="38"/>
      <c r="X316" s="38"/>
      <c r="AA316" s="38"/>
      <c r="AD316" s="38"/>
      <c r="AG316" s="38"/>
      <c r="AJ316" s="38"/>
      <c r="AM316" s="38"/>
      <c r="AP316" s="38"/>
    </row>
    <row r="317" spans="9:42" x14ac:dyDescent="0.2">
      <c r="I317" s="38"/>
      <c r="L317" s="38"/>
      <c r="O317" s="38"/>
      <c r="R317" s="38"/>
      <c r="U317" s="38"/>
      <c r="X317" s="38"/>
      <c r="AA317" s="38"/>
      <c r="AD317" s="38"/>
      <c r="AG317" s="38"/>
      <c r="AJ317" s="38"/>
      <c r="AM317" s="38"/>
      <c r="AP317" s="38"/>
    </row>
    <row r="318" spans="9:42" x14ac:dyDescent="0.2">
      <c r="I318" s="38"/>
      <c r="L318" s="38"/>
      <c r="O318" s="38"/>
      <c r="R318" s="38"/>
      <c r="U318" s="38"/>
      <c r="X318" s="38"/>
      <c r="AA318" s="38"/>
      <c r="AD318" s="38"/>
      <c r="AG318" s="38"/>
      <c r="AJ318" s="38"/>
      <c r="AM318" s="38"/>
      <c r="AP318" s="38"/>
    </row>
    <row r="319" spans="9:42" x14ac:dyDescent="0.2">
      <c r="I319" s="38"/>
      <c r="L319" s="38"/>
      <c r="O319" s="38"/>
      <c r="R319" s="38"/>
      <c r="U319" s="38"/>
      <c r="X319" s="38"/>
      <c r="AA319" s="38"/>
      <c r="AD319" s="38"/>
      <c r="AG319" s="38"/>
      <c r="AJ319" s="38"/>
      <c r="AM319" s="38"/>
      <c r="AP319" s="38"/>
    </row>
    <row r="320" spans="9:42" x14ac:dyDescent="0.2">
      <c r="I320" s="38"/>
      <c r="L320" s="38"/>
      <c r="O320" s="38"/>
      <c r="R320" s="38"/>
      <c r="U320" s="38"/>
      <c r="X320" s="38"/>
      <c r="AA320" s="38"/>
      <c r="AD320" s="38"/>
      <c r="AG320" s="38"/>
      <c r="AJ320" s="38"/>
      <c r="AM320" s="38"/>
      <c r="AP320" s="38"/>
    </row>
    <row r="321" spans="9:42" x14ac:dyDescent="0.2">
      <c r="I321" s="38"/>
      <c r="L321" s="38"/>
      <c r="O321" s="38"/>
      <c r="R321" s="38"/>
      <c r="U321" s="38"/>
      <c r="X321" s="38"/>
      <c r="AA321" s="38"/>
      <c r="AD321" s="38"/>
      <c r="AG321" s="38"/>
      <c r="AJ321" s="38"/>
      <c r="AM321" s="38"/>
      <c r="AP321" s="38"/>
    </row>
    <row r="322" spans="9:42" x14ac:dyDescent="0.2">
      <c r="I322" s="38"/>
      <c r="L322" s="38"/>
      <c r="O322" s="38"/>
      <c r="R322" s="38"/>
      <c r="U322" s="38"/>
      <c r="X322" s="38"/>
      <c r="AA322" s="38"/>
      <c r="AD322" s="38"/>
      <c r="AG322" s="38"/>
      <c r="AJ322" s="38"/>
      <c r="AM322" s="38"/>
      <c r="AP322" s="38"/>
    </row>
    <row r="323" spans="9:42" x14ac:dyDescent="0.2">
      <c r="I323" s="38"/>
      <c r="L323" s="38"/>
      <c r="O323" s="38"/>
      <c r="R323" s="38"/>
      <c r="U323" s="38"/>
      <c r="X323" s="38"/>
      <c r="AA323" s="38"/>
      <c r="AD323" s="38"/>
      <c r="AG323" s="38"/>
      <c r="AJ323" s="38"/>
      <c r="AM323" s="38"/>
      <c r="AP323" s="38"/>
    </row>
    <row r="324" spans="9:42" x14ac:dyDescent="0.2">
      <c r="I324" s="38"/>
      <c r="L324" s="38"/>
      <c r="O324" s="38"/>
      <c r="R324" s="38"/>
      <c r="U324" s="38"/>
      <c r="X324" s="38"/>
      <c r="AA324" s="38"/>
      <c r="AD324" s="38"/>
      <c r="AG324" s="38"/>
      <c r="AJ324" s="38"/>
      <c r="AM324" s="38"/>
      <c r="AP324" s="38"/>
    </row>
    <row r="325" spans="9:42" x14ac:dyDescent="0.2">
      <c r="I325" s="38"/>
      <c r="L325" s="38"/>
      <c r="O325" s="38"/>
      <c r="R325" s="38"/>
      <c r="U325" s="38"/>
      <c r="X325" s="38"/>
      <c r="AA325" s="38"/>
      <c r="AD325" s="38"/>
      <c r="AG325" s="38"/>
      <c r="AJ325" s="38"/>
      <c r="AM325" s="38"/>
      <c r="AP325" s="38"/>
    </row>
    <row r="326" spans="9:42" x14ac:dyDescent="0.2">
      <c r="I326" s="38"/>
      <c r="L326" s="38"/>
      <c r="O326" s="38"/>
      <c r="R326" s="38"/>
      <c r="U326" s="38"/>
      <c r="X326" s="38"/>
      <c r="AA326" s="38"/>
      <c r="AD326" s="38"/>
      <c r="AG326" s="38"/>
      <c r="AJ326" s="38"/>
      <c r="AM326" s="38"/>
      <c r="AP326" s="38"/>
    </row>
    <row r="327" spans="9:42" x14ac:dyDescent="0.2">
      <c r="I327" s="38"/>
      <c r="L327" s="38"/>
      <c r="O327" s="38"/>
      <c r="R327" s="38"/>
      <c r="U327" s="38"/>
      <c r="X327" s="38"/>
      <c r="AA327" s="38"/>
      <c r="AD327" s="38"/>
      <c r="AG327" s="38"/>
      <c r="AJ327" s="38"/>
      <c r="AM327" s="38"/>
      <c r="AP327" s="38"/>
    </row>
    <row r="328" spans="9:42" x14ac:dyDescent="0.2">
      <c r="I328" s="38"/>
      <c r="L328" s="38"/>
      <c r="O328" s="38"/>
      <c r="R328" s="38"/>
      <c r="U328" s="38"/>
      <c r="X328" s="38"/>
      <c r="AA328" s="38"/>
      <c r="AD328" s="38"/>
      <c r="AG328" s="38"/>
      <c r="AJ328" s="38"/>
      <c r="AM328" s="38"/>
      <c r="AP328" s="38"/>
    </row>
    <row r="329" spans="9:42" x14ac:dyDescent="0.2">
      <c r="I329" s="38"/>
      <c r="L329" s="38"/>
      <c r="O329" s="38"/>
      <c r="R329" s="38"/>
      <c r="U329" s="38"/>
      <c r="X329" s="38"/>
      <c r="AA329" s="38"/>
      <c r="AD329" s="38"/>
      <c r="AG329" s="38"/>
      <c r="AJ329" s="38"/>
      <c r="AM329" s="38"/>
      <c r="AP329" s="38"/>
    </row>
    <row r="330" spans="9:42" x14ac:dyDescent="0.2">
      <c r="I330" s="38"/>
      <c r="L330" s="38"/>
      <c r="O330" s="38"/>
      <c r="R330" s="38"/>
      <c r="U330" s="38"/>
      <c r="X330" s="38"/>
      <c r="AA330" s="38"/>
      <c r="AD330" s="38"/>
      <c r="AG330" s="38"/>
      <c r="AJ330" s="38"/>
      <c r="AM330" s="38"/>
      <c r="AP330" s="38"/>
    </row>
    <row r="331" spans="9:42" x14ac:dyDescent="0.2">
      <c r="I331" s="38"/>
      <c r="L331" s="38"/>
      <c r="O331" s="38"/>
      <c r="R331" s="38"/>
      <c r="U331" s="38"/>
      <c r="X331" s="38"/>
      <c r="AA331" s="38"/>
      <c r="AD331" s="38"/>
      <c r="AG331" s="38"/>
      <c r="AJ331" s="38"/>
      <c r="AM331" s="38"/>
      <c r="AP331" s="38"/>
    </row>
    <row r="332" spans="9:42" x14ac:dyDescent="0.2">
      <c r="I332" s="38"/>
      <c r="L332" s="38"/>
      <c r="O332" s="38"/>
      <c r="R332" s="38"/>
      <c r="U332" s="38"/>
      <c r="X332" s="38"/>
      <c r="AA332" s="38"/>
      <c r="AD332" s="38"/>
      <c r="AG332" s="38"/>
      <c r="AJ332" s="38"/>
      <c r="AM332" s="38"/>
      <c r="AP332" s="38"/>
    </row>
    <row r="333" spans="9:42" x14ac:dyDescent="0.2">
      <c r="I333" s="38"/>
      <c r="L333" s="38"/>
      <c r="O333" s="38"/>
      <c r="R333" s="38"/>
      <c r="U333" s="38"/>
      <c r="X333" s="38"/>
      <c r="AA333" s="38"/>
      <c r="AD333" s="38"/>
      <c r="AG333" s="38"/>
      <c r="AJ333" s="38"/>
      <c r="AM333" s="38"/>
      <c r="AP333" s="38"/>
    </row>
    <row r="334" spans="9:42" x14ac:dyDescent="0.2">
      <c r="I334" s="38"/>
      <c r="L334" s="38"/>
      <c r="O334" s="38"/>
      <c r="R334" s="38"/>
      <c r="U334" s="38"/>
      <c r="X334" s="38"/>
      <c r="AA334" s="38"/>
      <c r="AD334" s="38"/>
      <c r="AG334" s="38"/>
      <c r="AJ334" s="38"/>
      <c r="AM334" s="38"/>
      <c r="AP334" s="38"/>
    </row>
    <row r="335" spans="9:42" x14ac:dyDescent="0.2">
      <c r="I335" s="38"/>
      <c r="L335" s="38"/>
      <c r="O335" s="38"/>
      <c r="R335" s="38"/>
      <c r="U335" s="38"/>
      <c r="X335" s="38"/>
      <c r="AA335" s="38"/>
      <c r="AD335" s="38"/>
      <c r="AG335" s="38"/>
      <c r="AJ335" s="38"/>
      <c r="AM335" s="38"/>
      <c r="AP335" s="38"/>
    </row>
    <row r="336" spans="9:42" x14ac:dyDescent="0.2">
      <c r="I336" s="38"/>
      <c r="L336" s="38"/>
      <c r="O336" s="38"/>
      <c r="R336" s="38"/>
      <c r="U336" s="38"/>
      <c r="X336" s="38"/>
      <c r="AA336" s="38"/>
      <c r="AD336" s="38"/>
      <c r="AG336" s="38"/>
      <c r="AJ336" s="38"/>
      <c r="AM336" s="38"/>
      <c r="AP336" s="38"/>
    </row>
    <row r="337" spans="9:42" x14ac:dyDescent="0.2">
      <c r="I337" s="38"/>
      <c r="L337" s="38"/>
      <c r="O337" s="38"/>
      <c r="R337" s="38"/>
      <c r="U337" s="38"/>
      <c r="X337" s="38"/>
      <c r="AA337" s="38"/>
      <c r="AD337" s="38"/>
      <c r="AG337" s="38"/>
      <c r="AJ337" s="38"/>
      <c r="AM337" s="38"/>
      <c r="AP337" s="38"/>
    </row>
    <row r="338" spans="9:42" x14ac:dyDescent="0.2">
      <c r="I338" s="38"/>
      <c r="L338" s="38"/>
      <c r="O338" s="38"/>
      <c r="R338" s="38"/>
      <c r="U338" s="38"/>
      <c r="X338" s="38"/>
      <c r="AA338" s="38"/>
      <c r="AD338" s="38"/>
      <c r="AG338" s="38"/>
      <c r="AJ338" s="38"/>
      <c r="AM338" s="38"/>
      <c r="AP338" s="38"/>
    </row>
    <row r="339" spans="9:42" x14ac:dyDescent="0.2">
      <c r="I339" s="38"/>
      <c r="L339" s="38"/>
      <c r="O339" s="38"/>
      <c r="R339" s="38"/>
      <c r="U339" s="38"/>
      <c r="X339" s="38"/>
      <c r="AA339" s="38"/>
      <c r="AD339" s="38"/>
      <c r="AG339" s="38"/>
      <c r="AJ339" s="38"/>
      <c r="AM339" s="38"/>
      <c r="AP339" s="38"/>
    </row>
    <row r="340" spans="9:42" x14ac:dyDescent="0.2">
      <c r="I340" s="38"/>
      <c r="L340" s="38"/>
      <c r="O340" s="38"/>
      <c r="R340" s="38"/>
      <c r="U340" s="38"/>
      <c r="X340" s="38"/>
      <c r="AA340" s="38"/>
      <c r="AD340" s="38"/>
      <c r="AG340" s="38"/>
      <c r="AJ340" s="38"/>
      <c r="AM340" s="38"/>
      <c r="AP340" s="38"/>
    </row>
    <row r="341" spans="9:42" x14ac:dyDescent="0.2">
      <c r="I341" s="38"/>
      <c r="L341" s="38"/>
      <c r="O341" s="38"/>
      <c r="R341" s="38"/>
      <c r="U341" s="38"/>
      <c r="X341" s="38"/>
      <c r="AA341" s="38"/>
      <c r="AD341" s="38"/>
      <c r="AG341" s="38"/>
      <c r="AJ341" s="38"/>
      <c r="AM341" s="38"/>
      <c r="AP341" s="38"/>
    </row>
    <row r="342" spans="9:42" x14ac:dyDescent="0.2">
      <c r="I342" s="38"/>
      <c r="L342" s="38"/>
      <c r="O342" s="38"/>
      <c r="R342" s="38"/>
      <c r="U342" s="38"/>
      <c r="X342" s="38"/>
      <c r="AA342" s="38"/>
      <c r="AD342" s="38"/>
      <c r="AG342" s="38"/>
      <c r="AJ342" s="38"/>
      <c r="AM342" s="38"/>
      <c r="AP342" s="38"/>
    </row>
    <row r="343" spans="9:42" x14ac:dyDescent="0.2">
      <c r="I343" s="38"/>
      <c r="L343" s="38"/>
      <c r="O343" s="38"/>
      <c r="R343" s="38"/>
      <c r="U343" s="38"/>
      <c r="X343" s="38"/>
      <c r="AA343" s="38"/>
      <c r="AD343" s="38"/>
      <c r="AG343" s="38"/>
      <c r="AJ343" s="38"/>
      <c r="AM343" s="38"/>
      <c r="AP343" s="38"/>
    </row>
    <row r="344" spans="9:42" x14ac:dyDescent="0.2">
      <c r="I344" s="38"/>
      <c r="L344" s="38"/>
      <c r="O344" s="38"/>
      <c r="R344" s="38"/>
      <c r="U344" s="38"/>
      <c r="X344" s="38"/>
      <c r="AA344" s="38"/>
      <c r="AD344" s="38"/>
      <c r="AG344" s="38"/>
      <c r="AJ344" s="38"/>
      <c r="AM344" s="38"/>
      <c r="AP344" s="38"/>
    </row>
    <row r="345" spans="9:42" x14ac:dyDescent="0.2">
      <c r="I345" s="38"/>
      <c r="L345" s="38"/>
      <c r="O345" s="38"/>
      <c r="R345" s="38"/>
      <c r="U345" s="38"/>
      <c r="X345" s="38"/>
      <c r="AA345" s="38"/>
      <c r="AD345" s="38"/>
      <c r="AG345" s="38"/>
      <c r="AJ345" s="38"/>
      <c r="AM345" s="38"/>
      <c r="AP345" s="38"/>
    </row>
    <row r="346" spans="9:42" x14ac:dyDescent="0.2">
      <c r="I346" s="38"/>
      <c r="L346" s="38"/>
      <c r="O346" s="38"/>
      <c r="R346" s="38"/>
      <c r="U346" s="38"/>
      <c r="X346" s="38"/>
      <c r="AA346" s="38"/>
      <c r="AD346" s="38"/>
      <c r="AG346" s="38"/>
      <c r="AJ346" s="38"/>
      <c r="AM346" s="38"/>
      <c r="AP346" s="38"/>
    </row>
    <row r="347" spans="9:42" x14ac:dyDescent="0.2">
      <c r="I347" s="38"/>
      <c r="L347" s="38"/>
      <c r="O347" s="38"/>
      <c r="R347" s="38"/>
      <c r="U347" s="38"/>
      <c r="X347" s="38"/>
      <c r="AA347" s="38"/>
      <c r="AD347" s="38"/>
      <c r="AG347" s="38"/>
      <c r="AJ347" s="38"/>
      <c r="AM347" s="38"/>
      <c r="AP347" s="38"/>
    </row>
    <row r="348" spans="9:42" x14ac:dyDescent="0.2">
      <c r="I348" s="38"/>
      <c r="L348" s="38"/>
      <c r="O348" s="38"/>
      <c r="R348" s="38"/>
      <c r="U348" s="38"/>
      <c r="X348" s="38"/>
      <c r="AA348" s="38"/>
      <c r="AD348" s="38"/>
      <c r="AG348" s="38"/>
      <c r="AJ348" s="38"/>
      <c r="AM348" s="38"/>
      <c r="AP348" s="38"/>
    </row>
    <row r="349" spans="9:42" x14ac:dyDescent="0.2">
      <c r="I349" s="38"/>
      <c r="L349" s="38"/>
      <c r="O349" s="38"/>
      <c r="R349" s="38"/>
      <c r="U349" s="38"/>
      <c r="X349" s="38"/>
      <c r="AA349" s="38"/>
      <c r="AD349" s="38"/>
      <c r="AG349" s="38"/>
      <c r="AJ349" s="38"/>
      <c r="AM349" s="38"/>
      <c r="AP349" s="38"/>
    </row>
    <row r="350" spans="9:42" x14ac:dyDescent="0.2">
      <c r="I350" s="38"/>
      <c r="L350" s="38"/>
      <c r="O350" s="38"/>
      <c r="R350" s="38"/>
      <c r="U350" s="38"/>
      <c r="X350" s="38"/>
      <c r="AA350" s="38"/>
      <c r="AD350" s="38"/>
      <c r="AG350" s="38"/>
      <c r="AJ350" s="38"/>
      <c r="AM350" s="38"/>
      <c r="AP350" s="38"/>
    </row>
    <row r="351" spans="9:42" x14ac:dyDescent="0.2">
      <c r="I351" s="38"/>
      <c r="L351" s="38"/>
      <c r="O351" s="38"/>
      <c r="R351" s="38"/>
      <c r="U351" s="38"/>
      <c r="X351" s="38"/>
      <c r="AA351" s="38"/>
      <c r="AD351" s="38"/>
      <c r="AG351" s="38"/>
      <c r="AJ351" s="38"/>
      <c r="AM351" s="38"/>
      <c r="AP351" s="38"/>
    </row>
    <row r="352" spans="9:42" x14ac:dyDescent="0.2">
      <c r="I352" s="38"/>
      <c r="L352" s="38"/>
      <c r="O352" s="38"/>
      <c r="R352" s="38"/>
      <c r="U352" s="38"/>
      <c r="X352" s="38"/>
      <c r="AA352" s="38"/>
      <c r="AD352" s="38"/>
      <c r="AG352" s="38"/>
      <c r="AJ352" s="38"/>
      <c r="AM352" s="38"/>
      <c r="AP352" s="38"/>
    </row>
    <row r="353" spans="9:42" x14ac:dyDescent="0.2">
      <c r="I353" s="38"/>
      <c r="L353" s="38"/>
      <c r="O353" s="38"/>
      <c r="R353" s="38"/>
      <c r="U353" s="38"/>
      <c r="X353" s="38"/>
      <c r="AA353" s="38"/>
      <c r="AD353" s="38"/>
      <c r="AG353" s="38"/>
      <c r="AJ353" s="38"/>
      <c r="AM353" s="38"/>
      <c r="AP353" s="38"/>
    </row>
    <row r="354" spans="9:42" x14ac:dyDescent="0.2">
      <c r="I354" s="38"/>
      <c r="L354" s="38"/>
      <c r="O354" s="38"/>
      <c r="R354" s="38"/>
      <c r="U354" s="38"/>
      <c r="X354" s="38"/>
      <c r="AA354" s="38"/>
      <c r="AD354" s="38"/>
      <c r="AG354" s="38"/>
      <c r="AJ354" s="38"/>
      <c r="AM354" s="38"/>
      <c r="AP354" s="38"/>
    </row>
    <row r="355" spans="9:42" x14ac:dyDescent="0.2">
      <c r="I355" s="38"/>
      <c r="L355" s="38"/>
      <c r="O355" s="38"/>
      <c r="R355" s="38"/>
      <c r="U355" s="38"/>
      <c r="X355" s="38"/>
      <c r="AA355" s="38"/>
      <c r="AD355" s="38"/>
      <c r="AG355" s="38"/>
      <c r="AJ355" s="38"/>
      <c r="AM355" s="38"/>
      <c r="AP355" s="38"/>
    </row>
    <row r="356" spans="9:42" x14ac:dyDescent="0.2">
      <c r="I356" s="38"/>
      <c r="L356" s="38"/>
      <c r="O356" s="38"/>
      <c r="R356" s="38"/>
      <c r="U356" s="38"/>
      <c r="X356" s="38"/>
      <c r="AA356" s="38"/>
      <c r="AD356" s="38"/>
      <c r="AG356" s="38"/>
      <c r="AJ356" s="38"/>
      <c r="AM356" s="38"/>
      <c r="AP356" s="38"/>
    </row>
    <row r="357" spans="9:42" x14ac:dyDescent="0.2">
      <c r="I357" s="38"/>
      <c r="L357" s="38"/>
      <c r="O357" s="38"/>
      <c r="R357" s="38"/>
      <c r="U357" s="38"/>
      <c r="X357" s="38"/>
      <c r="AA357" s="38"/>
      <c r="AD357" s="38"/>
      <c r="AG357" s="38"/>
      <c r="AJ357" s="38"/>
      <c r="AM357" s="38"/>
      <c r="AP357" s="38"/>
    </row>
    <row r="358" spans="9:42" x14ac:dyDescent="0.2">
      <c r="I358" s="38"/>
      <c r="L358" s="38"/>
      <c r="O358" s="38"/>
      <c r="R358" s="38"/>
      <c r="U358" s="38"/>
      <c r="X358" s="38"/>
      <c r="AA358" s="38"/>
      <c r="AD358" s="38"/>
      <c r="AG358" s="38"/>
      <c r="AJ358" s="38"/>
      <c r="AM358" s="38"/>
      <c r="AP358" s="38"/>
    </row>
    <row r="359" spans="9:42" x14ac:dyDescent="0.2">
      <c r="I359" s="38"/>
      <c r="L359" s="38"/>
      <c r="O359" s="38"/>
      <c r="R359" s="38"/>
      <c r="U359" s="38"/>
      <c r="X359" s="38"/>
      <c r="AA359" s="38"/>
      <c r="AD359" s="38"/>
      <c r="AG359" s="38"/>
      <c r="AJ359" s="38"/>
      <c r="AM359" s="38"/>
      <c r="AP359" s="38"/>
    </row>
    <row r="360" spans="9:42" x14ac:dyDescent="0.2">
      <c r="I360" s="38"/>
      <c r="L360" s="38"/>
      <c r="O360" s="38"/>
      <c r="R360" s="38"/>
      <c r="U360" s="38"/>
      <c r="X360" s="38"/>
      <c r="AA360" s="38"/>
      <c r="AD360" s="38"/>
      <c r="AG360" s="38"/>
      <c r="AJ360" s="38"/>
      <c r="AM360" s="38"/>
      <c r="AP360" s="38"/>
    </row>
    <row r="361" spans="9:42" x14ac:dyDescent="0.2">
      <c r="I361" s="38"/>
      <c r="L361" s="38"/>
      <c r="O361" s="38"/>
      <c r="R361" s="38"/>
      <c r="U361" s="38"/>
      <c r="X361" s="38"/>
      <c r="AA361" s="38"/>
      <c r="AD361" s="38"/>
      <c r="AG361" s="38"/>
      <c r="AJ361" s="38"/>
      <c r="AM361" s="38"/>
      <c r="AP361" s="38"/>
    </row>
    <row r="362" spans="9:42" x14ac:dyDescent="0.2">
      <c r="I362" s="38"/>
      <c r="L362" s="38"/>
      <c r="O362" s="38"/>
      <c r="R362" s="38"/>
      <c r="U362" s="38"/>
      <c r="X362" s="38"/>
      <c r="AA362" s="38"/>
      <c r="AD362" s="38"/>
      <c r="AG362" s="38"/>
      <c r="AJ362" s="38"/>
      <c r="AM362" s="38"/>
      <c r="AP362" s="38"/>
    </row>
    <row r="363" spans="9:42" x14ac:dyDescent="0.2">
      <c r="I363" s="38"/>
      <c r="L363" s="38"/>
      <c r="O363" s="38"/>
      <c r="R363" s="38"/>
      <c r="U363" s="38"/>
      <c r="X363" s="38"/>
      <c r="AA363" s="38"/>
      <c r="AD363" s="38"/>
      <c r="AG363" s="38"/>
      <c r="AJ363" s="38"/>
      <c r="AM363" s="38"/>
      <c r="AP363" s="38"/>
    </row>
    <row r="364" spans="9:42" x14ac:dyDescent="0.2">
      <c r="I364" s="38"/>
      <c r="L364" s="38"/>
      <c r="O364" s="38"/>
      <c r="R364" s="38"/>
      <c r="U364" s="38"/>
      <c r="X364" s="38"/>
      <c r="AA364" s="38"/>
      <c r="AD364" s="38"/>
      <c r="AG364" s="38"/>
      <c r="AJ364" s="38"/>
      <c r="AM364" s="38"/>
      <c r="AP364" s="38"/>
    </row>
    <row r="365" spans="9:42" x14ac:dyDescent="0.2">
      <c r="I365" s="38"/>
      <c r="L365" s="38"/>
      <c r="O365" s="38"/>
      <c r="R365" s="38"/>
      <c r="U365" s="38"/>
      <c r="X365" s="38"/>
      <c r="AA365" s="38"/>
      <c r="AD365" s="38"/>
      <c r="AG365" s="38"/>
      <c r="AJ365" s="38"/>
      <c r="AM365" s="38"/>
      <c r="AP365" s="38"/>
    </row>
    <row r="366" spans="9:42" x14ac:dyDescent="0.2">
      <c r="I366" s="38"/>
      <c r="L366" s="38"/>
      <c r="O366" s="38"/>
      <c r="R366" s="38"/>
      <c r="U366" s="38"/>
      <c r="X366" s="38"/>
      <c r="AA366" s="38"/>
      <c r="AD366" s="38"/>
      <c r="AG366" s="38"/>
      <c r="AJ366" s="38"/>
      <c r="AM366" s="38"/>
      <c r="AP366" s="38"/>
    </row>
    <row r="367" spans="9:42" x14ac:dyDescent="0.2">
      <c r="I367" s="38"/>
      <c r="L367" s="38"/>
      <c r="O367" s="38"/>
      <c r="R367" s="38"/>
      <c r="U367" s="38"/>
      <c r="X367" s="38"/>
      <c r="AA367" s="38"/>
      <c r="AD367" s="38"/>
      <c r="AG367" s="38"/>
      <c r="AJ367" s="38"/>
      <c r="AM367" s="38"/>
      <c r="AP367" s="38"/>
    </row>
    <row r="368" spans="9:42" x14ac:dyDescent="0.2">
      <c r="I368" s="38"/>
      <c r="L368" s="38"/>
      <c r="O368" s="38"/>
      <c r="R368" s="38"/>
      <c r="U368" s="38"/>
      <c r="X368" s="38"/>
      <c r="AA368" s="38"/>
      <c r="AD368" s="38"/>
      <c r="AG368" s="38"/>
      <c r="AJ368" s="38"/>
      <c r="AM368" s="38"/>
      <c r="AP368" s="38"/>
    </row>
    <row r="369" spans="9:42" x14ac:dyDescent="0.2">
      <c r="I369" s="38"/>
      <c r="L369" s="38"/>
      <c r="O369" s="38"/>
      <c r="R369" s="38"/>
      <c r="U369" s="38"/>
      <c r="X369" s="38"/>
      <c r="AA369" s="38"/>
      <c r="AD369" s="38"/>
      <c r="AG369" s="38"/>
      <c r="AJ369" s="38"/>
      <c r="AM369" s="38"/>
      <c r="AP369" s="38"/>
    </row>
    <row r="370" spans="9:42" x14ac:dyDescent="0.2">
      <c r="I370" s="38"/>
      <c r="L370" s="38"/>
      <c r="O370" s="38"/>
      <c r="R370" s="38"/>
      <c r="U370" s="38"/>
      <c r="X370" s="38"/>
      <c r="AA370" s="38"/>
      <c r="AD370" s="38"/>
      <c r="AG370" s="38"/>
      <c r="AJ370" s="38"/>
      <c r="AM370" s="38"/>
      <c r="AP370" s="38"/>
    </row>
    <row r="371" spans="9:42" x14ac:dyDescent="0.2">
      <c r="I371" s="38"/>
      <c r="L371" s="38"/>
      <c r="O371" s="38"/>
      <c r="R371" s="38"/>
      <c r="U371" s="38"/>
      <c r="X371" s="38"/>
      <c r="AA371" s="38"/>
      <c r="AD371" s="38"/>
      <c r="AG371" s="38"/>
      <c r="AJ371" s="38"/>
      <c r="AM371" s="38"/>
      <c r="AP371" s="38"/>
    </row>
    <row r="372" spans="9:42" x14ac:dyDescent="0.2">
      <c r="I372" s="38"/>
      <c r="L372" s="38"/>
      <c r="O372" s="38"/>
      <c r="R372" s="38"/>
      <c r="U372" s="38"/>
      <c r="X372" s="38"/>
      <c r="AA372" s="38"/>
      <c r="AD372" s="38"/>
      <c r="AG372" s="38"/>
      <c r="AJ372" s="38"/>
      <c r="AM372" s="38"/>
      <c r="AP372" s="38"/>
    </row>
    <row r="373" spans="9:42" x14ac:dyDescent="0.2">
      <c r="I373" s="38"/>
      <c r="L373" s="38"/>
      <c r="O373" s="38"/>
      <c r="R373" s="38"/>
      <c r="U373" s="38"/>
      <c r="X373" s="38"/>
      <c r="AA373" s="38"/>
      <c r="AD373" s="38"/>
      <c r="AG373" s="38"/>
      <c r="AJ373" s="38"/>
      <c r="AM373" s="38"/>
      <c r="AP373" s="38"/>
    </row>
    <row r="374" spans="9:42" x14ac:dyDescent="0.2">
      <c r="I374" s="38"/>
      <c r="L374" s="38"/>
      <c r="O374" s="38"/>
      <c r="R374" s="38"/>
      <c r="U374" s="38"/>
      <c r="X374" s="38"/>
      <c r="AA374" s="38"/>
      <c r="AD374" s="38"/>
      <c r="AG374" s="38"/>
      <c r="AJ374" s="38"/>
      <c r="AM374" s="38"/>
      <c r="AP374" s="38"/>
    </row>
    <row r="375" spans="9:42" x14ac:dyDescent="0.2">
      <c r="I375" s="38"/>
      <c r="L375" s="38"/>
      <c r="O375" s="38"/>
      <c r="R375" s="38"/>
      <c r="U375" s="38"/>
      <c r="X375" s="38"/>
      <c r="AA375" s="38"/>
      <c r="AD375" s="38"/>
      <c r="AG375" s="38"/>
      <c r="AJ375" s="38"/>
      <c r="AM375" s="38"/>
      <c r="AP375" s="38"/>
    </row>
    <row r="376" spans="9:42" x14ac:dyDescent="0.2">
      <c r="I376" s="38"/>
      <c r="L376" s="38"/>
      <c r="O376" s="38"/>
      <c r="R376" s="38"/>
      <c r="U376" s="38"/>
      <c r="X376" s="38"/>
      <c r="AA376" s="38"/>
      <c r="AD376" s="38"/>
      <c r="AG376" s="38"/>
      <c r="AJ376" s="38"/>
      <c r="AM376" s="38"/>
      <c r="AP376" s="38"/>
    </row>
    <row r="377" spans="9:42" x14ac:dyDescent="0.2">
      <c r="I377" s="38"/>
      <c r="L377" s="38"/>
      <c r="O377" s="38"/>
      <c r="R377" s="38"/>
      <c r="U377" s="38"/>
      <c r="X377" s="38"/>
      <c r="AA377" s="38"/>
      <c r="AD377" s="38"/>
      <c r="AG377" s="38"/>
      <c r="AJ377" s="38"/>
      <c r="AM377" s="38"/>
      <c r="AP377" s="38"/>
    </row>
    <row r="378" spans="9:42" x14ac:dyDescent="0.2">
      <c r="I378" s="38"/>
      <c r="L378" s="38"/>
      <c r="O378" s="38"/>
      <c r="R378" s="38"/>
      <c r="U378" s="38"/>
      <c r="X378" s="38"/>
      <c r="AA378" s="38"/>
      <c r="AD378" s="38"/>
      <c r="AG378" s="38"/>
      <c r="AJ378" s="38"/>
      <c r="AM378" s="38"/>
      <c r="AP378" s="38"/>
    </row>
    <row r="379" spans="9:42" x14ac:dyDescent="0.2">
      <c r="I379" s="38"/>
      <c r="L379" s="38"/>
      <c r="O379" s="38"/>
      <c r="R379" s="38"/>
      <c r="U379" s="38"/>
      <c r="X379" s="38"/>
      <c r="AA379" s="38"/>
      <c r="AD379" s="38"/>
      <c r="AG379" s="38"/>
      <c r="AJ379" s="38"/>
      <c r="AM379" s="38"/>
      <c r="AP379" s="38"/>
    </row>
    <row r="380" spans="9:42" x14ac:dyDescent="0.2">
      <c r="I380" s="38"/>
      <c r="L380" s="38"/>
      <c r="O380" s="38"/>
      <c r="R380" s="38"/>
      <c r="U380" s="38"/>
      <c r="X380" s="38"/>
      <c r="AA380" s="38"/>
      <c r="AD380" s="38"/>
      <c r="AG380" s="38"/>
      <c r="AJ380" s="38"/>
      <c r="AM380" s="38"/>
      <c r="AP380" s="38"/>
    </row>
    <row r="381" spans="9:42" x14ac:dyDescent="0.2">
      <c r="I381" s="38"/>
      <c r="L381" s="38"/>
      <c r="O381" s="38"/>
      <c r="R381" s="38"/>
      <c r="U381" s="38"/>
      <c r="X381" s="38"/>
      <c r="AA381" s="38"/>
      <c r="AD381" s="38"/>
      <c r="AG381" s="38"/>
      <c r="AJ381" s="38"/>
      <c r="AM381" s="38"/>
      <c r="AP381" s="38"/>
    </row>
    <row r="382" spans="9:42" x14ac:dyDescent="0.2">
      <c r="I382" s="38"/>
      <c r="L382" s="38"/>
      <c r="O382" s="38"/>
      <c r="R382" s="38"/>
      <c r="U382" s="38"/>
      <c r="X382" s="38"/>
      <c r="AA382" s="38"/>
      <c r="AD382" s="38"/>
      <c r="AG382" s="38"/>
      <c r="AJ382" s="38"/>
      <c r="AM382" s="38"/>
      <c r="AP382" s="38"/>
    </row>
    <row r="383" spans="9:42" x14ac:dyDescent="0.2">
      <c r="I383" s="38"/>
      <c r="L383" s="38"/>
      <c r="O383" s="38"/>
      <c r="R383" s="38"/>
      <c r="U383" s="38"/>
      <c r="X383" s="38"/>
      <c r="AA383" s="38"/>
      <c r="AD383" s="38"/>
      <c r="AG383" s="38"/>
      <c r="AJ383" s="38"/>
      <c r="AM383" s="38"/>
      <c r="AP383" s="38"/>
    </row>
    <row r="384" spans="9:42" x14ac:dyDescent="0.2">
      <c r="I384" s="38"/>
      <c r="L384" s="38"/>
      <c r="O384" s="38"/>
      <c r="R384" s="38"/>
      <c r="U384" s="38"/>
      <c r="X384" s="38"/>
      <c r="AA384" s="38"/>
      <c r="AD384" s="38"/>
      <c r="AG384" s="38"/>
      <c r="AJ384" s="38"/>
      <c r="AM384" s="38"/>
      <c r="AP384" s="38"/>
    </row>
    <row r="385" spans="9:42" x14ac:dyDescent="0.2">
      <c r="I385" s="38"/>
      <c r="L385" s="38"/>
      <c r="O385" s="38"/>
      <c r="R385" s="38"/>
      <c r="U385" s="38"/>
      <c r="X385" s="38"/>
      <c r="AA385" s="38"/>
      <c r="AD385" s="38"/>
      <c r="AG385" s="38"/>
      <c r="AJ385" s="38"/>
      <c r="AM385" s="38"/>
      <c r="AP385" s="38"/>
    </row>
    <row r="386" spans="9:42" x14ac:dyDescent="0.2">
      <c r="I386" s="38"/>
      <c r="L386" s="38"/>
      <c r="O386" s="38"/>
      <c r="R386" s="38"/>
      <c r="U386" s="38"/>
      <c r="X386" s="38"/>
      <c r="AA386" s="38"/>
      <c r="AD386" s="38"/>
      <c r="AG386" s="38"/>
      <c r="AJ386" s="38"/>
      <c r="AM386" s="38"/>
      <c r="AP386" s="38"/>
    </row>
    <row r="387" spans="9:42" x14ac:dyDescent="0.2">
      <c r="I387" s="38"/>
      <c r="L387" s="38"/>
      <c r="O387" s="38"/>
      <c r="R387" s="38"/>
      <c r="U387" s="38"/>
      <c r="X387" s="38"/>
      <c r="AA387" s="38"/>
      <c r="AD387" s="38"/>
      <c r="AG387" s="38"/>
      <c r="AJ387" s="38"/>
      <c r="AM387" s="38"/>
      <c r="AP387" s="38"/>
    </row>
    <row r="388" spans="9:42" x14ac:dyDescent="0.2">
      <c r="I388" s="38"/>
      <c r="L388" s="38"/>
      <c r="O388" s="38"/>
      <c r="R388" s="38"/>
      <c r="U388" s="38"/>
      <c r="X388" s="38"/>
      <c r="AA388" s="38"/>
      <c r="AD388" s="38"/>
      <c r="AG388" s="38"/>
      <c r="AJ388" s="38"/>
      <c r="AM388" s="38"/>
      <c r="AP388" s="38"/>
    </row>
    <row r="389" spans="9:42" x14ac:dyDescent="0.2">
      <c r="I389" s="38"/>
      <c r="L389" s="38"/>
      <c r="O389" s="38"/>
      <c r="R389" s="38"/>
      <c r="U389" s="38"/>
      <c r="X389" s="38"/>
      <c r="AA389" s="38"/>
      <c r="AD389" s="38"/>
      <c r="AG389" s="38"/>
      <c r="AJ389" s="38"/>
      <c r="AM389" s="38"/>
      <c r="AP389" s="38"/>
    </row>
    <row r="390" spans="9:42" x14ac:dyDescent="0.2">
      <c r="I390" s="38"/>
      <c r="L390" s="38"/>
      <c r="O390" s="38"/>
      <c r="R390" s="38"/>
      <c r="U390" s="38"/>
      <c r="X390" s="38"/>
      <c r="AA390" s="38"/>
      <c r="AD390" s="38"/>
      <c r="AG390" s="38"/>
      <c r="AJ390" s="38"/>
      <c r="AM390" s="38"/>
      <c r="AP390" s="38"/>
    </row>
    <row r="391" spans="9:42" x14ac:dyDescent="0.2">
      <c r="I391" s="38"/>
      <c r="L391" s="38"/>
      <c r="O391" s="38"/>
      <c r="R391" s="38"/>
      <c r="U391" s="38"/>
      <c r="X391" s="38"/>
      <c r="AA391" s="38"/>
      <c r="AD391" s="38"/>
      <c r="AG391" s="38"/>
      <c r="AJ391" s="38"/>
      <c r="AM391" s="38"/>
      <c r="AP391" s="38"/>
    </row>
    <row r="392" spans="9:42" x14ac:dyDescent="0.2">
      <c r="I392" s="38"/>
      <c r="L392" s="38"/>
      <c r="O392" s="38"/>
      <c r="R392" s="38"/>
      <c r="U392" s="38"/>
      <c r="X392" s="38"/>
      <c r="AA392" s="38"/>
      <c r="AD392" s="38"/>
      <c r="AG392" s="38"/>
      <c r="AJ392" s="38"/>
      <c r="AM392" s="38"/>
      <c r="AP392" s="38"/>
    </row>
    <row r="393" spans="9:42" x14ac:dyDescent="0.2">
      <c r="I393" s="38"/>
      <c r="L393" s="38"/>
      <c r="O393" s="38"/>
      <c r="R393" s="38"/>
      <c r="U393" s="38"/>
      <c r="X393" s="38"/>
      <c r="AA393" s="38"/>
      <c r="AD393" s="38"/>
      <c r="AG393" s="38"/>
      <c r="AJ393" s="38"/>
      <c r="AM393" s="38"/>
      <c r="AP393" s="38"/>
    </row>
    <row r="394" spans="9:42" x14ac:dyDescent="0.2">
      <c r="I394" s="38"/>
      <c r="L394" s="38"/>
      <c r="O394" s="38"/>
      <c r="R394" s="38"/>
      <c r="U394" s="38"/>
      <c r="X394" s="38"/>
      <c r="AA394" s="38"/>
      <c r="AD394" s="38"/>
      <c r="AG394" s="38"/>
      <c r="AJ394" s="38"/>
      <c r="AM394" s="38"/>
      <c r="AP394" s="38"/>
    </row>
    <row r="395" spans="9:42" x14ac:dyDescent="0.2">
      <c r="I395" s="38"/>
      <c r="L395" s="38"/>
      <c r="O395" s="38"/>
      <c r="R395" s="38"/>
      <c r="U395" s="38"/>
      <c r="X395" s="38"/>
      <c r="AA395" s="38"/>
      <c r="AD395" s="38"/>
      <c r="AG395" s="38"/>
      <c r="AJ395" s="38"/>
      <c r="AM395" s="38"/>
      <c r="AP395" s="38"/>
    </row>
    <row r="396" spans="9:42" x14ac:dyDescent="0.2">
      <c r="I396" s="38"/>
      <c r="L396" s="38"/>
      <c r="O396" s="38"/>
      <c r="R396" s="38"/>
      <c r="U396" s="38"/>
      <c r="X396" s="38"/>
      <c r="AA396" s="38"/>
      <c r="AD396" s="38"/>
      <c r="AG396" s="38"/>
      <c r="AJ396" s="38"/>
      <c r="AM396" s="38"/>
      <c r="AP396" s="38"/>
    </row>
    <row r="397" spans="9:42" x14ac:dyDescent="0.2">
      <c r="I397" s="38"/>
      <c r="L397" s="38"/>
      <c r="O397" s="38"/>
      <c r="R397" s="38"/>
      <c r="U397" s="38"/>
      <c r="X397" s="38"/>
      <c r="AA397" s="38"/>
      <c r="AD397" s="38"/>
      <c r="AG397" s="38"/>
      <c r="AJ397" s="38"/>
      <c r="AM397" s="38"/>
      <c r="AP397" s="38"/>
    </row>
    <row r="398" spans="9:42" x14ac:dyDescent="0.2">
      <c r="I398" s="38"/>
      <c r="L398" s="38"/>
      <c r="O398" s="38"/>
      <c r="R398" s="38"/>
      <c r="U398" s="38"/>
      <c r="X398" s="38"/>
      <c r="AA398" s="38"/>
      <c r="AD398" s="38"/>
      <c r="AG398" s="38"/>
      <c r="AJ398" s="38"/>
      <c r="AM398" s="38"/>
      <c r="AP398" s="38"/>
    </row>
    <row r="399" spans="9:42" x14ac:dyDescent="0.2">
      <c r="I399" s="38"/>
      <c r="L399" s="38"/>
      <c r="O399" s="38"/>
      <c r="R399" s="38"/>
      <c r="U399" s="38"/>
      <c r="X399" s="38"/>
      <c r="AA399" s="38"/>
      <c r="AD399" s="38"/>
      <c r="AG399" s="38"/>
      <c r="AJ399" s="38"/>
      <c r="AM399" s="38"/>
      <c r="AP399" s="38"/>
    </row>
    <row r="400" spans="9:42" x14ac:dyDescent="0.2">
      <c r="I400" s="38"/>
      <c r="L400" s="38"/>
      <c r="O400" s="38"/>
      <c r="R400" s="38"/>
      <c r="U400" s="38"/>
      <c r="X400" s="38"/>
      <c r="AA400" s="38"/>
      <c r="AD400" s="38"/>
      <c r="AG400" s="38"/>
      <c r="AJ400" s="38"/>
      <c r="AM400" s="38"/>
      <c r="AP400" s="38"/>
    </row>
    <row r="401" spans="9:42" x14ac:dyDescent="0.2">
      <c r="I401" s="38"/>
      <c r="L401" s="38"/>
      <c r="O401" s="38"/>
      <c r="R401" s="38"/>
      <c r="U401" s="38"/>
      <c r="X401" s="38"/>
      <c r="AA401" s="38"/>
      <c r="AD401" s="38"/>
      <c r="AG401" s="38"/>
      <c r="AJ401" s="38"/>
      <c r="AM401" s="38"/>
      <c r="AP401" s="38"/>
    </row>
    <row r="402" spans="9:42" x14ac:dyDescent="0.2">
      <c r="I402" s="38"/>
      <c r="L402" s="38"/>
      <c r="O402" s="38"/>
      <c r="R402" s="38"/>
      <c r="U402" s="38"/>
      <c r="X402" s="38"/>
      <c r="AA402" s="38"/>
      <c r="AD402" s="38"/>
      <c r="AG402" s="38"/>
      <c r="AJ402" s="38"/>
      <c r="AM402" s="38"/>
      <c r="AP402" s="38"/>
    </row>
    <row r="403" spans="9:42" x14ac:dyDescent="0.2">
      <c r="I403" s="38"/>
      <c r="L403" s="38"/>
      <c r="O403" s="38"/>
      <c r="R403" s="38"/>
      <c r="U403" s="38"/>
      <c r="X403" s="38"/>
      <c r="AA403" s="38"/>
      <c r="AD403" s="38"/>
      <c r="AG403" s="38"/>
      <c r="AJ403" s="38"/>
      <c r="AM403" s="38"/>
      <c r="AP403" s="38"/>
    </row>
    <row r="404" spans="9:42" x14ac:dyDescent="0.2">
      <c r="I404" s="38"/>
      <c r="L404" s="38"/>
      <c r="O404" s="38"/>
      <c r="R404" s="38"/>
      <c r="U404" s="38"/>
      <c r="X404" s="38"/>
      <c r="AA404" s="38"/>
      <c r="AD404" s="38"/>
      <c r="AG404" s="38"/>
      <c r="AJ404" s="38"/>
      <c r="AM404" s="38"/>
      <c r="AP404" s="38"/>
    </row>
    <row r="405" spans="9:42" x14ac:dyDescent="0.2">
      <c r="I405" s="38"/>
      <c r="L405" s="38"/>
      <c r="O405" s="38"/>
      <c r="R405" s="38"/>
      <c r="U405" s="38"/>
      <c r="X405" s="38"/>
      <c r="AA405" s="38"/>
      <c r="AD405" s="38"/>
      <c r="AG405" s="38"/>
      <c r="AJ405" s="38"/>
      <c r="AM405" s="38"/>
      <c r="AP405" s="38"/>
    </row>
    <row r="406" spans="9:42" x14ac:dyDescent="0.2">
      <c r="I406" s="38"/>
      <c r="L406" s="38"/>
      <c r="O406" s="38"/>
      <c r="R406" s="38"/>
      <c r="U406" s="38"/>
      <c r="X406" s="38"/>
      <c r="AA406" s="38"/>
      <c r="AD406" s="38"/>
      <c r="AG406" s="38"/>
      <c r="AJ406" s="38"/>
      <c r="AM406" s="38"/>
      <c r="AP406" s="38"/>
    </row>
    <row r="407" spans="9:42" x14ac:dyDescent="0.2">
      <c r="I407" s="38"/>
      <c r="L407" s="38"/>
      <c r="O407" s="38"/>
      <c r="R407" s="38"/>
      <c r="U407" s="38"/>
      <c r="X407" s="38"/>
      <c r="AA407" s="38"/>
      <c r="AD407" s="38"/>
      <c r="AG407" s="38"/>
      <c r="AJ407" s="38"/>
      <c r="AM407" s="38"/>
      <c r="AP407" s="38"/>
    </row>
    <row r="408" spans="9:42" x14ac:dyDescent="0.2">
      <c r="I408" s="38"/>
      <c r="L408" s="38"/>
      <c r="O408" s="38"/>
      <c r="R408" s="38"/>
      <c r="U408" s="38"/>
      <c r="X408" s="38"/>
      <c r="AA408" s="38"/>
      <c r="AD408" s="38"/>
      <c r="AG408" s="38"/>
      <c r="AJ408" s="38"/>
      <c r="AM408" s="38"/>
      <c r="AP408" s="38"/>
    </row>
    <row r="409" spans="9:42" x14ac:dyDescent="0.2">
      <c r="I409" s="38"/>
      <c r="L409" s="38"/>
      <c r="O409" s="38"/>
      <c r="R409" s="38"/>
      <c r="U409" s="38"/>
      <c r="X409" s="38"/>
      <c r="AA409" s="38"/>
      <c r="AD409" s="38"/>
      <c r="AG409" s="38"/>
      <c r="AJ409" s="38"/>
      <c r="AM409" s="38"/>
      <c r="AP409" s="38"/>
    </row>
    <row r="410" spans="9:42" x14ac:dyDescent="0.2">
      <c r="I410" s="38"/>
      <c r="L410" s="38"/>
      <c r="O410" s="38"/>
      <c r="R410" s="38"/>
      <c r="U410" s="38"/>
      <c r="X410" s="38"/>
      <c r="AA410" s="38"/>
      <c r="AD410" s="38"/>
      <c r="AG410" s="38"/>
      <c r="AJ410" s="38"/>
      <c r="AM410" s="38"/>
      <c r="AP410" s="38"/>
    </row>
    <row r="411" spans="9:42" x14ac:dyDescent="0.2">
      <c r="I411" s="38"/>
      <c r="L411" s="38"/>
      <c r="O411" s="38"/>
      <c r="R411" s="38"/>
      <c r="U411" s="38"/>
      <c r="X411" s="38"/>
      <c r="AA411" s="38"/>
      <c r="AD411" s="38"/>
      <c r="AG411" s="38"/>
      <c r="AJ411" s="38"/>
      <c r="AM411" s="38"/>
      <c r="AP411" s="38"/>
    </row>
    <row r="412" spans="9:42" x14ac:dyDescent="0.2">
      <c r="I412" s="38"/>
      <c r="L412" s="38"/>
      <c r="O412" s="38"/>
      <c r="R412" s="38"/>
      <c r="U412" s="38"/>
      <c r="X412" s="38"/>
      <c r="AA412" s="38"/>
      <c r="AD412" s="38"/>
      <c r="AG412" s="38"/>
      <c r="AJ412" s="38"/>
      <c r="AM412" s="38"/>
      <c r="AP412" s="38"/>
    </row>
    <row r="413" spans="9:42" x14ac:dyDescent="0.2">
      <c r="I413" s="38"/>
      <c r="L413" s="38"/>
      <c r="O413" s="38"/>
      <c r="R413" s="38"/>
      <c r="U413" s="38"/>
      <c r="X413" s="38"/>
      <c r="AA413" s="38"/>
      <c r="AD413" s="38"/>
      <c r="AG413" s="38"/>
      <c r="AJ413" s="38"/>
      <c r="AM413" s="38"/>
      <c r="AP413" s="38"/>
    </row>
    <row r="414" spans="9:42" x14ac:dyDescent="0.2">
      <c r="I414" s="38"/>
      <c r="L414" s="38"/>
      <c r="O414" s="38"/>
      <c r="R414" s="38"/>
      <c r="U414" s="38"/>
      <c r="X414" s="38"/>
      <c r="AA414" s="38"/>
      <c r="AD414" s="38"/>
      <c r="AG414" s="38"/>
      <c r="AJ414" s="38"/>
      <c r="AM414" s="38"/>
      <c r="AP414" s="38"/>
    </row>
    <row r="415" spans="9:42" x14ac:dyDescent="0.2">
      <c r="I415" s="38"/>
      <c r="L415" s="38"/>
      <c r="O415" s="38"/>
      <c r="R415" s="38"/>
      <c r="U415" s="38"/>
      <c r="X415" s="38"/>
      <c r="AA415" s="38"/>
      <c r="AD415" s="38"/>
      <c r="AG415" s="38"/>
      <c r="AJ415" s="38"/>
      <c r="AM415" s="38"/>
      <c r="AP415" s="38"/>
    </row>
    <row r="416" spans="9:42" x14ac:dyDescent="0.2">
      <c r="I416" s="38"/>
      <c r="L416" s="38"/>
      <c r="O416" s="38"/>
      <c r="R416" s="38"/>
      <c r="U416" s="38"/>
      <c r="X416" s="38"/>
      <c r="AA416" s="38"/>
      <c r="AD416" s="38"/>
      <c r="AG416" s="38"/>
      <c r="AJ416" s="38"/>
      <c r="AM416" s="38"/>
      <c r="AP416" s="38"/>
    </row>
    <row r="417" spans="9:42" x14ac:dyDescent="0.2">
      <c r="I417" s="38"/>
      <c r="L417" s="38"/>
      <c r="O417" s="38"/>
      <c r="R417" s="38"/>
      <c r="U417" s="38"/>
      <c r="X417" s="38"/>
      <c r="AA417" s="38"/>
      <c r="AD417" s="38"/>
      <c r="AG417" s="38"/>
      <c r="AJ417" s="38"/>
      <c r="AM417" s="38"/>
      <c r="AP417" s="38"/>
    </row>
    <row r="418" spans="9:42" x14ac:dyDescent="0.2">
      <c r="I418" s="38"/>
      <c r="L418" s="38"/>
      <c r="O418" s="38"/>
      <c r="R418" s="38"/>
      <c r="U418" s="38"/>
      <c r="X418" s="38"/>
      <c r="AA418" s="38"/>
      <c r="AD418" s="38"/>
      <c r="AG418" s="38"/>
      <c r="AJ418" s="38"/>
      <c r="AM418" s="38"/>
      <c r="AP418" s="38"/>
    </row>
    <row r="419" spans="9:42" x14ac:dyDescent="0.2">
      <c r="I419" s="38"/>
      <c r="L419" s="38"/>
      <c r="O419" s="38"/>
      <c r="R419" s="38"/>
      <c r="U419" s="38"/>
      <c r="X419" s="38"/>
      <c r="AA419" s="38"/>
      <c r="AD419" s="38"/>
      <c r="AG419" s="38"/>
      <c r="AJ419" s="38"/>
      <c r="AM419" s="38"/>
      <c r="AP419" s="38"/>
    </row>
    <row r="420" spans="9:42" x14ac:dyDescent="0.2">
      <c r="I420" s="38"/>
      <c r="L420" s="38"/>
      <c r="O420" s="38"/>
      <c r="R420" s="38"/>
      <c r="U420" s="38"/>
      <c r="X420" s="38"/>
      <c r="AA420" s="38"/>
      <c r="AD420" s="38"/>
      <c r="AG420" s="38"/>
      <c r="AJ420" s="38"/>
      <c r="AM420" s="38"/>
      <c r="AP420" s="38"/>
    </row>
    <row r="421" spans="9:42" x14ac:dyDescent="0.2">
      <c r="I421" s="38"/>
      <c r="L421" s="38"/>
      <c r="O421" s="38"/>
      <c r="R421" s="38"/>
      <c r="U421" s="38"/>
      <c r="X421" s="38"/>
      <c r="AA421" s="38"/>
      <c r="AD421" s="38"/>
      <c r="AG421" s="38"/>
      <c r="AJ421" s="38"/>
      <c r="AM421" s="38"/>
      <c r="AP421" s="38"/>
    </row>
    <row r="422" spans="9:42" x14ac:dyDescent="0.2">
      <c r="I422" s="38"/>
      <c r="L422" s="38"/>
      <c r="O422" s="38"/>
      <c r="R422" s="38"/>
      <c r="U422" s="38"/>
      <c r="X422" s="38"/>
      <c r="AA422" s="38"/>
      <c r="AD422" s="38"/>
      <c r="AG422" s="38"/>
      <c r="AJ422" s="38"/>
      <c r="AM422" s="38"/>
      <c r="AP422" s="38"/>
    </row>
    <row r="423" spans="9:42" x14ac:dyDescent="0.2">
      <c r="I423" s="38"/>
      <c r="L423" s="38"/>
      <c r="O423" s="38"/>
      <c r="R423" s="38"/>
      <c r="U423" s="38"/>
      <c r="X423" s="38"/>
      <c r="AA423" s="38"/>
      <c r="AD423" s="38"/>
      <c r="AG423" s="38"/>
      <c r="AJ423" s="38"/>
      <c r="AM423" s="38"/>
      <c r="AP423" s="38"/>
    </row>
    <row r="424" spans="9:42" x14ac:dyDescent="0.2">
      <c r="I424" s="38"/>
      <c r="L424" s="38"/>
      <c r="O424" s="38"/>
      <c r="R424" s="38"/>
      <c r="U424" s="38"/>
      <c r="X424" s="38"/>
      <c r="AA424" s="38"/>
      <c r="AD424" s="38"/>
      <c r="AG424" s="38"/>
      <c r="AJ424" s="38"/>
      <c r="AM424" s="38"/>
      <c r="AP424" s="38"/>
    </row>
    <row r="425" spans="9:42" x14ac:dyDescent="0.2">
      <c r="I425" s="38"/>
      <c r="L425" s="38"/>
      <c r="O425" s="38"/>
      <c r="R425" s="38"/>
      <c r="U425" s="38"/>
      <c r="X425" s="38"/>
      <c r="AA425" s="38"/>
      <c r="AD425" s="38"/>
      <c r="AG425" s="38"/>
      <c r="AJ425" s="38"/>
      <c r="AM425" s="38"/>
      <c r="AP425" s="38"/>
    </row>
    <row r="426" spans="9:42" x14ac:dyDescent="0.2">
      <c r="I426" s="38"/>
      <c r="L426" s="38"/>
      <c r="O426" s="38"/>
      <c r="R426" s="38"/>
      <c r="U426" s="38"/>
      <c r="X426" s="38"/>
      <c r="AA426" s="38"/>
      <c r="AD426" s="38"/>
      <c r="AG426" s="38"/>
      <c r="AJ426" s="38"/>
      <c r="AM426" s="38"/>
      <c r="AP426" s="38"/>
    </row>
    <row r="427" spans="9:42" x14ac:dyDescent="0.2">
      <c r="I427" s="38"/>
      <c r="L427" s="38"/>
      <c r="O427" s="38"/>
      <c r="R427" s="38"/>
      <c r="U427" s="38"/>
      <c r="X427" s="38"/>
      <c r="AA427" s="38"/>
      <c r="AD427" s="38"/>
      <c r="AG427" s="38"/>
      <c r="AJ427" s="38"/>
      <c r="AM427" s="38"/>
      <c r="AP427" s="38"/>
    </row>
    <row r="428" spans="9:42" x14ac:dyDescent="0.2">
      <c r="I428" s="38"/>
      <c r="L428" s="38"/>
      <c r="O428" s="38"/>
      <c r="R428" s="38"/>
      <c r="U428" s="38"/>
      <c r="X428" s="38"/>
      <c r="AA428" s="38"/>
      <c r="AD428" s="38"/>
      <c r="AG428" s="38"/>
      <c r="AJ428" s="38"/>
      <c r="AM428" s="38"/>
      <c r="AP428" s="38"/>
    </row>
    <row r="429" spans="9:42" x14ac:dyDescent="0.2">
      <c r="I429" s="38"/>
      <c r="L429" s="38"/>
      <c r="O429" s="38"/>
      <c r="R429" s="38"/>
      <c r="U429" s="38"/>
      <c r="X429" s="38"/>
      <c r="AA429" s="38"/>
      <c r="AD429" s="38"/>
      <c r="AG429" s="38"/>
      <c r="AJ429" s="38"/>
      <c r="AM429" s="38"/>
      <c r="AP429" s="38"/>
    </row>
    <row r="430" spans="9:42" x14ac:dyDescent="0.2">
      <c r="I430" s="38"/>
      <c r="L430" s="38"/>
      <c r="O430" s="38"/>
      <c r="R430" s="38"/>
      <c r="U430" s="38"/>
      <c r="X430" s="38"/>
      <c r="AA430" s="38"/>
      <c r="AD430" s="38"/>
      <c r="AG430" s="38"/>
      <c r="AJ430" s="38"/>
      <c r="AM430" s="38"/>
      <c r="AP430" s="38"/>
    </row>
    <row r="431" spans="9:42" x14ac:dyDescent="0.2">
      <c r="I431" s="38"/>
      <c r="L431" s="38"/>
      <c r="O431" s="38"/>
      <c r="R431" s="38"/>
      <c r="U431" s="38"/>
      <c r="X431" s="38"/>
      <c r="AA431" s="38"/>
      <c r="AD431" s="38"/>
      <c r="AG431" s="38"/>
      <c r="AJ431" s="38"/>
      <c r="AM431" s="38"/>
      <c r="AP431" s="38"/>
    </row>
    <row r="432" spans="9:42" x14ac:dyDescent="0.2">
      <c r="I432" s="38"/>
      <c r="L432" s="38"/>
      <c r="O432" s="38"/>
      <c r="R432" s="38"/>
      <c r="U432" s="38"/>
      <c r="X432" s="38"/>
      <c r="AA432" s="38"/>
      <c r="AD432" s="38"/>
      <c r="AG432" s="38"/>
      <c r="AJ432" s="38"/>
      <c r="AM432" s="38"/>
      <c r="AP432" s="38"/>
    </row>
    <row r="433" spans="9:42" x14ac:dyDescent="0.2">
      <c r="I433" s="38"/>
      <c r="L433" s="38"/>
      <c r="O433" s="38"/>
      <c r="R433" s="38"/>
      <c r="U433" s="38"/>
      <c r="X433" s="38"/>
      <c r="AA433" s="38"/>
      <c r="AD433" s="38"/>
      <c r="AG433" s="38"/>
      <c r="AJ433" s="38"/>
      <c r="AM433" s="38"/>
      <c r="AP433" s="38"/>
    </row>
    <row r="434" spans="9:42" x14ac:dyDescent="0.2">
      <c r="I434" s="38"/>
      <c r="L434" s="38"/>
      <c r="O434" s="38"/>
      <c r="R434" s="38"/>
      <c r="U434" s="38"/>
      <c r="X434" s="38"/>
      <c r="AA434" s="38"/>
      <c r="AD434" s="38"/>
      <c r="AG434" s="38"/>
      <c r="AJ434" s="38"/>
      <c r="AM434" s="38"/>
      <c r="AP434" s="38"/>
    </row>
    <row r="435" spans="9:42" x14ac:dyDescent="0.2">
      <c r="I435" s="38"/>
      <c r="L435" s="38"/>
      <c r="O435" s="38"/>
      <c r="R435" s="38"/>
      <c r="U435" s="38"/>
      <c r="X435" s="38"/>
      <c r="AA435" s="38"/>
      <c r="AD435" s="38"/>
      <c r="AG435" s="38"/>
      <c r="AJ435" s="38"/>
      <c r="AM435" s="38"/>
      <c r="AP435" s="38"/>
    </row>
    <row r="436" spans="9:42" x14ac:dyDescent="0.2">
      <c r="I436" s="38"/>
      <c r="L436" s="38"/>
      <c r="O436" s="38"/>
      <c r="R436" s="38"/>
      <c r="U436" s="38"/>
      <c r="X436" s="38"/>
      <c r="AA436" s="38"/>
      <c r="AD436" s="38"/>
      <c r="AG436" s="38"/>
      <c r="AJ436" s="38"/>
      <c r="AM436" s="38"/>
      <c r="AP436" s="38"/>
    </row>
    <row r="437" spans="9:42" x14ac:dyDescent="0.2">
      <c r="I437" s="38"/>
      <c r="L437" s="38"/>
      <c r="O437" s="38"/>
      <c r="R437" s="38"/>
      <c r="U437" s="38"/>
      <c r="X437" s="38"/>
      <c r="AA437" s="38"/>
      <c r="AD437" s="38"/>
      <c r="AG437" s="38"/>
      <c r="AJ437" s="38"/>
      <c r="AM437" s="38"/>
      <c r="AP437" s="38"/>
    </row>
    <row r="438" spans="9:42" x14ac:dyDescent="0.2">
      <c r="I438" s="38"/>
      <c r="L438" s="38"/>
      <c r="O438" s="38"/>
      <c r="R438" s="38"/>
      <c r="U438" s="38"/>
      <c r="X438" s="38"/>
      <c r="AA438" s="38"/>
      <c r="AD438" s="38"/>
      <c r="AG438" s="38"/>
      <c r="AJ438" s="38"/>
      <c r="AM438" s="38"/>
      <c r="AP438" s="38"/>
    </row>
    <row r="439" spans="9:42" x14ac:dyDescent="0.2">
      <c r="I439" s="38"/>
      <c r="L439" s="38"/>
      <c r="O439" s="38"/>
      <c r="R439" s="38"/>
      <c r="U439" s="38"/>
      <c r="X439" s="38"/>
      <c r="AA439" s="38"/>
      <c r="AD439" s="38"/>
      <c r="AG439" s="38"/>
      <c r="AJ439" s="38"/>
      <c r="AM439" s="38"/>
      <c r="AP439" s="38"/>
    </row>
    <row r="440" spans="9:42" x14ac:dyDescent="0.2">
      <c r="I440" s="38"/>
      <c r="L440" s="38"/>
      <c r="O440" s="38"/>
      <c r="R440" s="38"/>
      <c r="U440" s="38"/>
      <c r="X440" s="38"/>
      <c r="AA440" s="38"/>
      <c r="AD440" s="38"/>
      <c r="AG440" s="38"/>
      <c r="AJ440" s="38"/>
      <c r="AM440" s="38"/>
      <c r="AP440" s="38"/>
    </row>
    <row r="441" spans="9:42" x14ac:dyDescent="0.2">
      <c r="I441" s="38"/>
      <c r="L441" s="38"/>
      <c r="O441" s="38"/>
      <c r="R441" s="38"/>
      <c r="U441" s="38"/>
      <c r="X441" s="38"/>
      <c r="AA441" s="38"/>
      <c r="AD441" s="38"/>
      <c r="AG441" s="38"/>
      <c r="AJ441" s="38"/>
      <c r="AM441" s="38"/>
      <c r="AP441" s="38"/>
    </row>
    <row r="442" spans="9:42" x14ac:dyDescent="0.2">
      <c r="I442" s="38"/>
      <c r="L442" s="38"/>
      <c r="O442" s="38"/>
      <c r="R442" s="38"/>
      <c r="U442" s="38"/>
      <c r="X442" s="38"/>
      <c r="AA442" s="38"/>
      <c r="AD442" s="38"/>
      <c r="AG442" s="38"/>
      <c r="AJ442" s="38"/>
      <c r="AM442" s="38"/>
      <c r="AP442" s="38"/>
    </row>
    <row r="443" spans="9:42" x14ac:dyDescent="0.2">
      <c r="I443" s="38"/>
      <c r="L443" s="38"/>
      <c r="O443" s="38"/>
      <c r="R443" s="38"/>
      <c r="U443" s="38"/>
      <c r="X443" s="38"/>
      <c r="AA443" s="38"/>
      <c r="AD443" s="38"/>
      <c r="AG443" s="38"/>
      <c r="AJ443" s="38"/>
      <c r="AM443" s="38"/>
      <c r="AP443" s="38"/>
    </row>
    <row r="444" spans="9:42" x14ac:dyDescent="0.2">
      <c r="I444" s="38"/>
      <c r="L444" s="38"/>
      <c r="O444" s="38"/>
      <c r="R444" s="38"/>
      <c r="U444" s="38"/>
      <c r="X444" s="38"/>
      <c r="AA444" s="38"/>
      <c r="AD444" s="38"/>
      <c r="AG444" s="38"/>
      <c r="AJ444" s="38"/>
      <c r="AM444" s="38"/>
      <c r="AP444" s="38"/>
    </row>
    <row r="445" spans="9:42" x14ac:dyDescent="0.2">
      <c r="I445" s="38"/>
      <c r="L445" s="38"/>
      <c r="O445" s="38"/>
      <c r="R445" s="38"/>
      <c r="U445" s="38"/>
      <c r="X445" s="38"/>
      <c r="AA445" s="38"/>
      <c r="AD445" s="38"/>
      <c r="AG445" s="38"/>
      <c r="AJ445" s="38"/>
      <c r="AM445" s="38"/>
      <c r="AP445" s="38"/>
    </row>
    <row r="446" spans="9:42" x14ac:dyDescent="0.2">
      <c r="I446" s="38"/>
      <c r="L446" s="38"/>
      <c r="O446" s="38"/>
      <c r="R446" s="38"/>
      <c r="U446" s="38"/>
      <c r="X446" s="38"/>
      <c r="AA446" s="38"/>
      <c r="AD446" s="38"/>
      <c r="AG446" s="38"/>
      <c r="AJ446" s="38"/>
      <c r="AM446" s="38"/>
      <c r="AP446" s="38"/>
    </row>
    <row r="447" spans="9:42" x14ac:dyDescent="0.2">
      <c r="I447" s="38"/>
      <c r="L447" s="38"/>
      <c r="O447" s="38"/>
      <c r="R447" s="38"/>
      <c r="U447" s="38"/>
      <c r="X447" s="38"/>
      <c r="AA447" s="38"/>
      <c r="AD447" s="38"/>
      <c r="AG447" s="38"/>
      <c r="AJ447" s="38"/>
      <c r="AM447" s="38"/>
      <c r="AP447" s="38"/>
    </row>
    <row r="448" spans="9:42" x14ac:dyDescent="0.2">
      <c r="I448" s="38"/>
      <c r="L448" s="38"/>
      <c r="O448" s="38"/>
      <c r="R448" s="38"/>
      <c r="U448" s="38"/>
      <c r="X448" s="38"/>
      <c r="AA448" s="38"/>
      <c r="AD448" s="38"/>
      <c r="AG448" s="38"/>
      <c r="AJ448" s="38"/>
      <c r="AM448" s="38"/>
      <c r="AP448" s="38"/>
    </row>
    <row r="449" spans="9:42" x14ac:dyDescent="0.2">
      <c r="I449" s="38"/>
      <c r="L449" s="38"/>
      <c r="O449" s="38"/>
      <c r="R449" s="38"/>
      <c r="U449" s="38"/>
      <c r="X449" s="38"/>
      <c r="AA449" s="38"/>
      <c r="AD449" s="38"/>
      <c r="AG449" s="38"/>
      <c r="AJ449" s="38"/>
      <c r="AM449" s="38"/>
      <c r="AP449" s="38"/>
    </row>
    <row r="450" spans="9:42" x14ac:dyDescent="0.2">
      <c r="I450" s="38"/>
      <c r="L450" s="38"/>
      <c r="O450" s="38"/>
      <c r="R450" s="38"/>
      <c r="U450" s="38"/>
      <c r="X450" s="38"/>
      <c r="AA450" s="38"/>
      <c r="AD450" s="38"/>
      <c r="AG450" s="38"/>
      <c r="AJ450" s="38"/>
      <c r="AM450" s="38"/>
      <c r="AP450" s="38"/>
    </row>
    <row r="451" spans="9:42" x14ac:dyDescent="0.2">
      <c r="I451" s="38"/>
      <c r="L451" s="38"/>
      <c r="O451" s="38"/>
      <c r="R451" s="38"/>
      <c r="U451" s="38"/>
      <c r="X451" s="38"/>
      <c r="AA451" s="38"/>
      <c r="AD451" s="38"/>
      <c r="AG451" s="38"/>
      <c r="AJ451" s="38"/>
      <c r="AM451" s="38"/>
      <c r="AP451" s="38"/>
    </row>
    <row r="452" spans="9:42" x14ac:dyDescent="0.2">
      <c r="I452" s="38"/>
      <c r="L452" s="38"/>
      <c r="O452" s="38"/>
      <c r="R452" s="38"/>
      <c r="U452" s="38"/>
      <c r="X452" s="38"/>
      <c r="AA452" s="38"/>
      <c r="AD452" s="38"/>
      <c r="AG452" s="38"/>
      <c r="AJ452" s="38"/>
      <c r="AM452" s="38"/>
      <c r="AP452" s="38"/>
    </row>
    <row r="453" spans="9:42" x14ac:dyDescent="0.2">
      <c r="I453" s="38"/>
      <c r="L453" s="38"/>
      <c r="O453" s="38"/>
      <c r="R453" s="38"/>
      <c r="U453" s="38"/>
      <c r="X453" s="38"/>
      <c r="AA453" s="38"/>
      <c r="AD453" s="38"/>
      <c r="AG453" s="38"/>
      <c r="AJ453" s="38"/>
      <c r="AM453" s="38"/>
      <c r="AP453" s="38"/>
    </row>
    <row r="454" spans="9:42" x14ac:dyDescent="0.2">
      <c r="I454" s="38"/>
      <c r="L454" s="38"/>
      <c r="O454" s="38"/>
      <c r="R454" s="38"/>
      <c r="U454" s="38"/>
      <c r="X454" s="38"/>
      <c r="AA454" s="38"/>
      <c r="AD454" s="38"/>
      <c r="AG454" s="38"/>
      <c r="AJ454" s="38"/>
      <c r="AM454" s="38"/>
      <c r="AP454" s="38"/>
    </row>
    <row r="455" spans="9:42" x14ac:dyDescent="0.2">
      <c r="I455" s="38"/>
      <c r="L455" s="38"/>
      <c r="O455" s="38"/>
      <c r="R455" s="38"/>
      <c r="U455" s="38"/>
      <c r="X455" s="38"/>
      <c r="AA455" s="38"/>
      <c r="AD455" s="38"/>
      <c r="AG455" s="38"/>
      <c r="AJ455" s="38"/>
      <c r="AM455" s="38"/>
      <c r="AP455" s="38"/>
    </row>
    <row r="456" spans="9:42" x14ac:dyDescent="0.2">
      <c r="I456" s="38"/>
      <c r="L456" s="38"/>
      <c r="O456" s="38"/>
      <c r="R456" s="38"/>
      <c r="U456" s="38"/>
      <c r="X456" s="38"/>
      <c r="AA456" s="38"/>
      <c r="AD456" s="38"/>
      <c r="AG456" s="38"/>
      <c r="AJ456" s="38"/>
      <c r="AM456" s="38"/>
      <c r="AP456" s="38"/>
    </row>
    <row r="457" spans="9:42" x14ac:dyDescent="0.2">
      <c r="I457" s="38"/>
      <c r="L457" s="38"/>
      <c r="O457" s="38"/>
      <c r="R457" s="38"/>
      <c r="U457" s="38"/>
      <c r="X457" s="38"/>
      <c r="AA457" s="38"/>
      <c r="AD457" s="38"/>
      <c r="AG457" s="38"/>
      <c r="AJ457" s="38"/>
      <c r="AM457" s="38"/>
      <c r="AP457" s="38"/>
    </row>
    <row r="458" spans="9:42" x14ac:dyDescent="0.2">
      <c r="I458" s="38"/>
      <c r="L458" s="38"/>
      <c r="O458" s="38"/>
      <c r="R458" s="38"/>
      <c r="U458" s="38"/>
      <c r="X458" s="38"/>
      <c r="AA458" s="38"/>
      <c r="AD458" s="38"/>
      <c r="AG458" s="38"/>
      <c r="AJ458" s="38"/>
      <c r="AM458" s="38"/>
      <c r="AP458" s="38"/>
    </row>
    <row r="459" spans="9:42" x14ac:dyDescent="0.2">
      <c r="I459" s="38"/>
      <c r="L459" s="38"/>
      <c r="O459" s="38"/>
      <c r="R459" s="38"/>
      <c r="U459" s="38"/>
      <c r="X459" s="38"/>
      <c r="AA459" s="38"/>
      <c r="AD459" s="38"/>
      <c r="AG459" s="38"/>
      <c r="AJ459" s="38"/>
      <c r="AM459" s="38"/>
      <c r="AP459" s="38"/>
    </row>
    <row r="460" spans="9:42" x14ac:dyDescent="0.2">
      <c r="I460" s="38"/>
      <c r="L460" s="38"/>
      <c r="O460" s="38"/>
      <c r="R460" s="38"/>
      <c r="U460" s="38"/>
      <c r="X460" s="38"/>
      <c r="AA460" s="38"/>
      <c r="AD460" s="38"/>
      <c r="AG460" s="38"/>
      <c r="AJ460" s="38"/>
      <c r="AM460" s="38"/>
      <c r="AP460" s="38"/>
    </row>
    <row r="461" spans="9:42" x14ac:dyDescent="0.2">
      <c r="I461" s="38"/>
      <c r="L461" s="38"/>
      <c r="O461" s="38"/>
      <c r="R461" s="38"/>
      <c r="U461" s="38"/>
      <c r="X461" s="38"/>
      <c r="AA461" s="38"/>
      <c r="AD461" s="38"/>
      <c r="AG461" s="38"/>
      <c r="AJ461" s="38"/>
      <c r="AM461" s="38"/>
      <c r="AP461" s="38"/>
    </row>
    <row r="462" spans="9:42" x14ac:dyDescent="0.2">
      <c r="I462" s="38"/>
      <c r="L462" s="38"/>
      <c r="O462" s="38"/>
      <c r="R462" s="38"/>
      <c r="U462" s="38"/>
      <c r="X462" s="38"/>
      <c r="AA462" s="38"/>
      <c r="AD462" s="38"/>
      <c r="AG462" s="38"/>
      <c r="AJ462" s="38"/>
      <c r="AM462" s="38"/>
      <c r="AP462" s="38"/>
    </row>
    <row r="463" spans="9:42" x14ac:dyDescent="0.2">
      <c r="I463" s="38"/>
      <c r="L463" s="38"/>
      <c r="O463" s="38"/>
      <c r="R463" s="38"/>
      <c r="U463" s="38"/>
      <c r="X463" s="38"/>
      <c r="AA463" s="38"/>
      <c r="AD463" s="38"/>
      <c r="AG463" s="38"/>
      <c r="AJ463" s="38"/>
      <c r="AM463" s="38"/>
      <c r="AP463" s="38"/>
    </row>
    <row r="464" spans="9:42" x14ac:dyDescent="0.2">
      <c r="I464" s="38"/>
      <c r="L464" s="38"/>
      <c r="O464" s="38"/>
      <c r="R464" s="38"/>
      <c r="U464" s="38"/>
      <c r="X464" s="38"/>
      <c r="AA464" s="38"/>
      <c r="AD464" s="38"/>
      <c r="AG464" s="38"/>
      <c r="AJ464" s="38"/>
      <c r="AM464" s="38"/>
      <c r="AP464" s="38"/>
    </row>
    <row r="465" spans="9:42" x14ac:dyDescent="0.2">
      <c r="I465" s="38"/>
      <c r="L465" s="38"/>
      <c r="O465" s="38"/>
      <c r="R465" s="38"/>
      <c r="U465" s="38"/>
      <c r="X465" s="38"/>
      <c r="AA465" s="38"/>
      <c r="AD465" s="38"/>
      <c r="AG465" s="38"/>
      <c r="AJ465" s="38"/>
      <c r="AM465" s="38"/>
      <c r="AP465" s="38"/>
    </row>
    <row r="466" spans="9:42" x14ac:dyDescent="0.2">
      <c r="I466" s="38"/>
      <c r="L466" s="38"/>
      <c r="O466" s="38"/>
      <c r="R466" s="38"/>
      <c r="U466" s="38"/>
      <c r="X466" s="38"/>
      <c r="AA466" s="38"/>
      <c r="AD466" s="38"/>
      <c r="AG466" s="38"/>
      <c r="AJ466" s="38"/>
      <c r="AM466" s="38"/>
      <c r="AP466" s="38"/>
    </row>
    <row r="467" spans="9:42" x14ac:dyDescent="0.2">
      <c r="I467" s="38"/>
      <c r="L467" s="38"/>
      <c r="O467" s="38"/>
      <c r="R467" s="38"/>
      <c r="U467" s="38"/>
      <c r="X467" s="38"/>
      <c r="AA467" s="38"/>
      <c r="AD467" s="38"/>
      <c r="AG467" s="38"/>
      <c r="AJ467" s="38"/>
      <c r="AM467" s="38"/>
      <c r="AP467" s="38"/>
    </row>
    <row r="468" spans="9:42" x14ac:dyDescent="0.2">
      <c r="I468" s="38"/>
      <c r="L468" s="38"/>
      <c r="O468" s="38"/>
      <c r="R468" s="38"/>
      <c r="U468" s="38"/>
      <c r="X468" s="38"/>
      <c r="AA468" s="38"/>
      <c r="AD468" s="38"/>
      <c r="AG468" s="38"/>
      <c r="AJ468" s="38"/>
      <c r="AM468" s="38"/>
      <c r="AP468" s="38"/>
    </row>
    <row r="469" spans="9:42" x14ac:dyDescent="0.2">
      <c r="I469" s="38"/>
      <c r="L469" s="38"/>
      <c r="O469" s="38"/>
      <c r="R469" s="38"/>
      <c r="U469" s="38"/>
      <c r="X469" s="38"/>
      <c r="AA469" s="38"/>
      <c r="AD469" s="38"/>
      <c r="AG469" s="38"/>
      <c r="AJ469" s="38"/>
      <c r="AM469" s="38"/>
      <c r="AP469" s="38"/>
    </row>
    <row r="470" spans="9:42" x14ac:dyDescent="0.2">
      <c r="I470" s="38"/>
      <c r="L470" s="38"/>
      <c r="O470" s="38"/>
      <c r="R470" s="38"/>
      <c r="U470" s="38"/>
      <c r="X470" s="38"/>
      <c r="AA470" s="38"/>
      <c r="AD470" s="38"/>
      <c r="AG470" s="38"/>
      <c r="AJ470" s="38"/>
      <c r="AM470" s="38"/>
      <c r="AP470" s="38"/>
    </row>
    <row r="471" spans="9:42" x14ac:dyDescent="0.2">
      <c r="I471" s="38"/>
      <c r="L471" s="38"/>
      <c r="O471" s="38"/>
      <c r="R471" s="38"/>
      <c r="U471" s="38"/>
      <c r="X471" s="38"/>
      <c r="AA471" s="38"/>
      <c r="AD471" s="38"/>
      <c r="AG471" s="38"/>
      <c r="AJ471" s="38"/>
      <c r="AM471" s="38"/>
      <c r="AP471" s="38"/>
    </row>
    <row r="472" spans="9:42" x14ac:dyDescent="0.2">
      <c r="I472" s="38"/>
      <c r="L472" s="38"/>
      <c r="O472" s="38"/>
      <c r="R472" s="38"/>
      <c r="U472" s="38"/>
      <c r="X472" s="38"/>
      <c r="AA472" s="38"/>
      <c r="AD472" s="38"/>
      <c r="AG472" s="38"/>
      <c r="AJ472" s="38"/>
      <c r="AM472" s="38"/>
      <c r="AP472" s="38"/>
    </row>
    <row r="473" spans="9:42" x14ac:dyDescent="0.2">
      <c r="I473" s="38"/>
      <c r="L473" s="38"/>
      <c r="O473" s="38"/>
      <c r="R473" s="38"/>
      <c r="U473" s="38"/>
      <c r="X473" s="38"/>
      <c r="AA473" s="38"/>
      <c r="AD473" s="38"/>
      <c r="AG473" s="38"/>
      <c r="AJ473" s="38"/>
      <c r="AM473" s="38"/>
      <c r="AP473" s="38"/>
    </row>
    <row r="474" spans="9:42" x14ac:dyDescent="0.2">
      <c r="I474" s="38"/>
      <c r="L474" s="38"/>
      <c r="O474" s="38"/>
      <c r="R474" s="38"/>
      <c r="U474" s="38"/>
      <c r="X474" s="38"/>
      <c r="AA474" s="38"/>
      <c r="AD474" s="38"/>
      <c r="AG474" s="38"/>
      <c r="AJ474" s="38"/>
      <c r="AM474" s="38"/>
      <c r="AP474" s="38"/>
    </row>
    <row r="475" spans="9:42" x14ac:dyDescent="0.2">
      <c r="I475" s="38"/>
      <c r="L475" s="38"/>
      <c r="O475" s="38"/>
      <c r="R475" s="38"/>
      <c r="U475" s="38"/>
      <c r="X475" s="38"/>
      <c r="AA475" s="38"/>
      <c r="AD475" s="38"/>
      <c r="AG475" s="38"/>
      <c r="AJ475" s="38"/>
      <c r="AM475" s="38"/>
      <c r="AP475" s="38"/>
    </row>
    <row r="476" spans="9:42" x14ac:dyDescent="0.2">
      <c r="I476" s="38"/>
      <c r="L476" s="38"/>
      <c r="O476" s="38"/>
      <c r="R476" s="38"/>
      <c r="U476" s="38"/>
      <c r="X476" s="38"/>
      <c r="AA476" s="38"/>
      <c r="AD476" s="38"/>
      <c r="AG476" s="38"/>
      <c r="AJ476" s="38"/>
      <c r="AM476" s="38"/>
      <c r="AP476" s="38"/>
    </row>
    <row r="477" spans="9:42" x14ac:dyDescent="0.2">
      <c r="I477" s="38"/>
      <c r="L477" s="38"/>
      <c r="O477" s="38"/>
      <c r="R477" s="38"/>
      <c r="U477" s="38"/>
      <c r="X477" s="38"/>
      <c r="AA477" s="38"/>
      <c r="AD477" s="38"/>
      <c r="AG477" s="38"/>
      <c r="AJ477" s="38"/>
      <c r="AM477" s="38"/>
      <c r="AP477" s="38"/>
    </row>
    <row r="478" spans="9:42" x14ac:dyDescent="0.2">
      <c r="I478" s="38"/>
      <c r="L478" s="38"/>
      <c r="O478" s="38"/>
      <c r="R478" s="38"/>
      <c r="U478" s="38"/>
      <c r="X478" s="38"/>
      <c r="AA478" s="38"/>
      <c r="AD478" s="38"/>
      <c r="AG478" s="38"/>
      <c r="AJ478" s="38"/>
      <c r="AM478" s="38"/>
      <c r="AP478" s="38"/>
    </row>
    <row r="479" spans="9:42" x14ac:dyDescent="0.2">
      <c r="I479" s="38"/>
      <c r="L479" s="38"/>
      <c r="O479" s="38"/>
      <c r="R479" s="38"/>
      <c r="U479" s="38"/>
      <c r="X479" s="38"/>
      <c r="AA479" s="38"/>
      <c r="AD479" s="38"/>
      <c r="AG479" s="38"/>
      <c r="AJ479" s="38"/>
      <c r="AM479" s="38"/>
      <c r="AP479" s="38"/>
    </row>
    <row r="480" spans="9:42" x14ac:dyDescent="0.2">
      <c r="I480" s="38"/>
      <c r="L480" s="38"/>
      <c r="O480" s="38"/>
      <c r="R480" s="38"/>
      <c r="U480" s="38"/>
      <c r="X480" s="38"/>
      <c r="AA480" s="38"/>
      <c r="AD480" s="38"/>
      <c r="AG480" s="38"/>
      <c r="AJ480" s="38"/>
      <c r="AM480" s="38"/>
      <c r="AP480" s="38"/>
    </row>
    <row r="481" spans="9:42" x14ac:dyDescent="0.2">
      <c r="I481" s="38"/>
      <c r="L481" s="38"/>
      <c r="O481" s="38"/>
      <c r="R481" s="38"/>
      <c r="U481" s="38"/>
      <c r="X481" s="38"/>
      <c r="AA481" s="38"/>
      <c r="AD481" s="38"/>
      <c r="AG481" s="38"/>
      <c r="AJ481" s="38"/>
      <c r="AM481" s="38"/>
      <c r="AP481" s="38"/>
    </row>
    <row r="482" spans="9:42" x14ac:dyDescent="0.2">
      <c r="I482" s="38"/>
      <c r="L482" s="38"/>
      <c r="O482" s="38"/>
      <c r="R482" s="38"/>
      <c r="U482" s="38"/>
      <c r="X482" s="38"/>
      <c r="AA482" s="38"/>
      <c r="AD482" s="38"/>
      <c r="AG482" s="38"/>
      <c r="AJ482" s="38"/>
      <c r="AM482" s="38"/>
      <c r="AP482" s="38"/>
    </row>
    <row r="483" spans="9:42" x14ac:dyDescent="0.2">
      <c r="I483" s="38"/>
      <c r="L483" s="38"/>
      <c r="O483" s="38"/>
      <c r="R483" s="38"/>
      <c r="U483" s="38"/>
      <c r="X483" s="38"/>
      <c r="AA483" s="38"/>
      <c r="AD483" s="38"/>
      <c r="AG483" s="38"/>
      <c r="AJ483" s="38"/>
      <c r="AM483" s="38"/>
      <c r="AP483" s="38"/>
    </row>
    <row r="484" spans="9:42" x14ac:dyDescent="0.2">
      <c r="I484" s="38"/>
      <c r="L484" s="38"/>
      <c r="O484" s="38"/>
      <c r="R484" s="38"/>
      <c r="U484" s="38"/>
      <c r="X484" s="38"/>
      <c r="AA484" s="38"/>
      <c r="AD484" s="38"/>
      <c r="AG484" s="38"/>
      <c r="AJ484" s="38"/>
      <c r="AM484" s="38"/>
      <c r="AP484" s="38"/>
    </row>
    <row r="485" spans="9:42" x14ac:dyDescent="0.2">
      <c r="I485" s="38"/>
      <c r="L485" s="38"/>
      <c r="O485" s="38"/>
      <c r="R485" s="38"/>
      <c r="U485" s="38"/>
      <c r="X485" s="38"/>
      <c r="AA485" s="38"/>
      <c r="AD485" s="38"/>
      <c r="AG485" s="38"/>
      <c r="AJ485" s="38"/>
      <c r="AM485" s="38"/>
      <c r="AP485" s="38"/>
    </row>
    <row r="486" spans="9:42" x14ac:dyDescent="0.2">
      <c r="I486" s="38"/>
      <c r="L486" s="38"/>
      <c r="O486" s="38"/>
      <c r="R486" s="38"/>
      <c r="U486" s="38"/>
      <c r="X486" s="38"/>
      <c r="AA486" s="38"/>
      <c r="AD486" s="38"/>
      <c r="AG486" s="38"/>
      <c r="AJ486" s="38"/>
      <c r="AM486" s="38"/>
      <c r="AP486" s="38"/>
    </row>
    <row r="487" spans="9:42" x14ac:dyDescent="0.2">
      <c r="I487" s="38"/>
      <c r="L487" s="38"/>
      <c r="O487" s="38"/>
      <c r="R487" s="38"/>
      <c r="U487" s="38"/>
      <c r="X487" s="38"/>
      <c r="AA487" s="38"/>
      <c r="AD487" s="38"/>
      <c r="AG487" s="38"/>
      <c r="AJ487" s="38"/>
      <c r="AM487" s="38"/>
      <c r="AP487" s="38"/>
    </row>
    <row r="488" spans="9:42" x14ac:dyDescent="0.2">
      <c r="I488" s="38"/>
      <c r="L488" s="38"/>
      <c r="O488" s="38"/>
      <c r="R488" s="38"/>
      <c r="U488" s="38"/>
      <c r="X488" s="38"/>
      <c r="AA488" s="38"/>
      <c r="AD488" s="38"/>
      <c r="AG488" s="38"/>
      <c r="AJ488" s="38"/>
      <c r="AM488" s="38"/>
      <c r="AP488" s="38"/>
    </row>
    <row r="489" spans="9:42" x14ac:dyDescent="0.2">
      <c r="I489" s="38"/>
      <c r="L489" s="38"/>
      <c r="O489" s="38"/>
      <c r="R489" s="38"/>
      <c r="U489" s="38"/>
      <c r="X489" s="38"/>
      <c r="AA489" s="38"/>
      <c r="AD489" s="38"/>
      <c r="AG489" s="38"/>
      <c r="AJ489" s="38"/>
      <c r="AM489" s="38"/>
      <c r="AP489" s="38"/>
    </row>
    <row r="490" spans="9:42" x14ac:dyDescent="0.2">
      <c r="I490" s="38"/>
      <c r="L490" s="38"/>
      <c r="O490" s="38"/>
      <c r="R490" s="38"/>
      <c r="U490" s="38"/>
      <c r="X490" s="38"/>
      <c r="AA490" s="38"/>
      <c r="AD490" s="38"/>
      <c r="AG490" s="38"/>
      <c r="AJ490" s="38"/>
      <c r="AM490" s="38"/>
      <c r="AP490" s="38"/>
    </row>
    <row r="491" spans="9:42" x14ac:dyDescent="0.2">
      <c r="I491" s="38"/>
      <c r="L491" s="38"/>
      <c r="O491" s="38"/>
      <c r="R491" s="38"/>
      <c r="U491" s="38"/>
      <c r="X491" s="38"/>
      <c r="AA491" s="38"/>
      <c r="AD491" s="38"/>
      <c r="AG491" s="38"/>
      <c r="AJ491" s="38"/>
      <c r="AM491" s="38"/>
      <c r="AP491" s="38"/>
    </row>
    <row r="492" spans="9:42" x14ac:dyDescent="0.2">
      <c r="I492" s="38"/>
      <c r="L492" s="38"/>
      <c r="O492" s="38"/>
      <c r="R492" s="38"/>
      <c r="U492" s="38"/>
      <c r="X492" s="38"/>
      <c r="AA492" s="38"/>
      <c r="AD492" s="38"/>
      <c r="AG492" s="38"/>
      <c r="AJ492" s="38"/>
      <c r="AM492" s="38"/>
      <c r="AP492" s="38"/>
    </row>
    <row r="493" spans="9:42" x14ac:dyDescent="0.2">
      <c r="I493" s="38"/>
      <c r="L493" s="38"/>
      <c r="O493" s="38"/>
      <c r="R493" s="38"/>
      <c r="U493" s="38"/>
      <c r="X493" s="38"/>
      <c r="AA493" s="38"/>
      <c r="AD493" s="38"/>
      <c r="AG493" s="38"/>
      <c r="AJ493" s="38"/>
      <c r="AM493" s="38"/>
      <c r="AP493" s="38"/>
    </row>
    <row r="494" spans="9:42" x14ac:dyDescent="0.2">
      <c r="I494" s="38"/>
      <c r="L494" s="38"/>
      <c r="O494" s="38"/>
      <c r="R494" s="38"/>
      <c r="U494" s="38"/>
      <c r="X494" s="38"/>
      <c r="AA494" s="38"/>
      <c r="AD494" s="38"/>
      <c r="AG494" s="38"/>
      <c r="AJ494" s="38"/>
      <c r="AM494" s="38"/>
      <c r="AP494" s="38"/>
    </row>
    <row r="495" spans="9:42" x14ac:dyDescent="0.2">
      <c r="I495" s="38"/>
      <c r="L495" s="38"/>
      <c r="O495" s="38"/>
      <c r="R495" s="38"/>
      <c r="U495" s="38"/>
      <c r="X495" s="38"/>
      <c r="AA495" s="38"/>
      <c r="AD495" s="38"/>
      <c r="AG495" s="38"/>
      <c r="AJ495" s="38"/>
      <c r="AM495" s="38"/>
      <c r="AP495" s="38"/>
    </row>
    <row r="496" spans="9:42" x14ac:dyDescent="0.2">
      <c r="I496" s="38"/>
      <c r="L496" s="38"/>
      <c r="O496" s="38"/>
      <c r="R496" s="38"/>
      <c r="U496" s="38"/>
      <c r="X496" s="38"/>
      <c r="AA496" s="38"/>
      <c r="AD496" s="38"/>
      <c r="AG496" s="38"/>
      <c r="AJ496" s="38"/>
      <c r="AM496" s="38"/>
      <c r="AP496" s="38"/>
    </row>
    <row r="497" spans="9:42" x14ac:dyDescent="0.2">
      <c r="I497" s="38"/>
      <c r="L497" s="38"/>
      <c r="O497" s="38"/>
      <c r="R497" s="38"/>
      <c r="U497" s="38"/>
      <c r="X497" s="38"/>
      <c r="AA497" s="38"/>
      <c r="AD497" s="38"/>
      <c r="AG497" s="38"/>
      <c r="AJ497" s="38"/>
      <c r="AM497" s="38"/>
      <c r="AP497" s="38"/>
    </row>
    <row r="498" spans="9:42" x14ac:dyDescent="0.2">
      <c r="I498" s="38"/>
      <c r="L498" s="38"/>
      <c r="O498" s="38"/>
      <c r="R498" s="38"/>
      <c r="U498" s="38"/>
      <c r="X498" s="38"/>
      <c r="AA498" s="38"/>
      <c r="AD498" s="38"/>
      <c r="AG498" s="38"/>
      <c r="AJ498" s="38"/>
      <c r="AM498" s="38"/>
      <c r="AP498" s="38"/>
    </row>
    <row r="499" spans="9:42" x14ac:dyDescent="0.2">
      <c r="I499" s="38"/>
      <c r="L499" s="38"/>
      <c r="O499" s="38"/>
      <c r="R499" s="38"/>
      <c r="U499" s="38"/>
      <c r="X499" s="38"/>
      <c r="AA499" s="38"/>
      <c r="AD499" s="38"/>
      <c r="AG499" s="38"/>
      <c r="AJ499" s="38"/>
      <c r="AM499" s="38"/>
      <c r="AP499" s="38"/>
    </row>
    <row r="500" spans="9:42" x14ac:dyDescent="0.2">
      <c r="I500" s="38"/>
      <c r="L500" s="38"/>
      <c r="O500" s="38"/>
      <c r="R500" s="38"/>
      <c r="U500" s="38"/>
      <c r="X500" s="38"/>
      <c r="AA500" s="38"/>
      <c r="AD500" s="38"/>
      <c r="AG500" s="38"/>
      <c r="AJ500" s="38"/>
      <c r="AM500" s="38"/>
      <c r="AP500" s="38"/>
    </row>
    <row r="501" spans="9:42" x14ac:dyDescent="0.2">
      <c r="I501" s="38"/>
      <c r="L501" s="38"/>
      <c r="O501" s="38"/>
      <c r="R501" s="38"/>
      <c r="U501" s="38"/>
      <c r="X501" s="38"/>
      <c r="AA501" s="38"/>
      <c r="AD501" s="38"/>
      <c r="AG501" s="38"/>
      <c r="AJ501" s="38"/>
      <c r="AM501" s="38"/>
      <c r="AP501" s="38"/>
    </row>
    <row r="502" spans="9:42" x14ac:dyDescent="0.2">
      <c r="I502" s="38"/>
      <c r="L502" s="38"/>
      <c r="O502" s="38"/>
      <c r="R502" s="38"/>
      <c r="U502" s="38"/>
      <c r="X502" s="38"/>
      <c r="AA502" s="38"/>
      <c r="AD502" s="38"/>
      <c r="AG502" s="38"/>
      <c r="AJ502" s="38"/>
      <c r="AM502" s="38"/>
      <c r="AP502" s="38"/>
    </row>
    <row r="503" spans="9:42" x14ac:dyDescent="0.2">
      <c r="I503" s="38"/>
      <c r="L503" s="38"/>
      <c r="O503" s="38"/>
      <c r="R503" s="38"/>
      <c r="U503" s="38"/>
      <c r="X503" s="38"/>
      <c r="AA503" s="38"/>
      <c r="AD503" s="38"/>
      <c r="AG503" s="38"/>
      <c r="AJ503" s="38"/>
      <c r="AM503" s="38"/>
      <c r="AP503" s="38"/>
    </row>
    <row r="504" spans="9:42" x14ac:dyDescent="0.2">
      <c r="I504" s="38"/>
      <c r="L504" s="38"/>
      <c r="O504" s="38"/>
      <c r="R504" s="38"/>
      <c r="U504" s="38"/>
      <c r="X504" s="38"/>
      <c r="AA504" s="38"/>
      <c r="AD504" s="38"/>
      <c r="AG504" s="38"/>
      <c r="AJ504" s="38"/>
      <c r="AM504" s="38"/>
      <c r="AP504" s="38"/>
    </row>
    <row r="505" spans="9:42" x14ac:dyDescent="0.2">
      <c r="I505" s="38"/>
      <c r="L505" s="38"/>
      <c r="O505" s="38"/>
      <c r="R505" s="38"/>
      <c r="U505" s="38"/>
      <c r="X505" s="38"/>
      <c r="AA505" s="38"/>
      <c r="AD505" s="38"/>
      <c r="AG505" s="38"/>
      <c r="AJ505" s="38"/>
      <c r="AM505" s="38"/>
      <c r="AP505" s="38"/>
    </row>
    <row r="506" spans="9:42" x14ac:dyDescent="0.2">
      <c r="I506" s="38"/>
      <c r="L506" s="38"/>
      <c r="O506" s="38"/>
      <c r="R506" s="38"/>
      <c r="U506" s="38"/>
      <c r="X506" s="38"/>
      <c r="AA506" s="38"/>
      <c r="AD506" s="38"/>
      <c r="AG506" s="38"/>
      <c r="AJ506" s="38"/>
      <c r="AM506" s="38"/>
      <c r="AP506" s="38"/>
    </row>
    <row r="507" spans="9:42" x14ac:dyDescent="0.2">
      <c r="I507" s="38"/>
      <c r="L507" s="38"/>
      <c r="O507" s="38"/>
      <c r="R507" s="38"/>
      <c r="U507" s="38"/>
      <c r="X507" s="38"/>
      <c r="AA507" s="38"/>
      <c r="AD507" s="38"/>
      <c r="AG507" s="38"/>
      <c r="AJ507" s="38"/>
      <c r="AM507" s="38"/>
      <c r="AP507" s="38"/>
    </row>
    <row r="508" spans="9:42" x14ac:dyDescent="0.2">
      <c r="I508" s="38"/>
      <c r="L508" s="38"/>
      <c r="O508" s="38"/>
      <c r="R508" s="38"/>
      <c r="U508" s="38"/>
      <c r="X508" s="38"/>
      <c r="AA508" s="38"/>
      <c r="AD508" s="38"/>
      <c r="AG508" s="38"/>
      <c r="AJ508" s="38"/>
      <c r="AM508" s="38"/>
      <c r="AP508" s="38"/>
    </row>
    <row r="509" spans="9:42" x14ac:dyDescent="0.2">
      <c r="I509" s="38"/>
      <c r="L509" s="38"/>
      <c r="O509" s="38"/>
      <c r="R509" s="38"/>
      <c r="U509" s="38"/>
      <c r="X509" s="38"/>
      <c r="AA509" s="38"/>
      <c r="AD509" s="38"/>
      <c r="AG509" s="38"/>
      <c r="AJ509" s="38"/>
      <c r="AM509" s="38"/>
      <c r="AP509" s="38"/>
    </row>
    <row r="510" spans="9:42" x14ac:dyDescent="0.2">
      <c r="I510" s="38"/>
      <c r="L510" s="38"/>
      <c r="O510" s="38"/>
      <c r="R510" s="38"/>
      <c r="U510" s="38"/>
      <c r="X510" s="38"/>
      <c r="AA510" s="38"/>
      <c r="AD510" s="38"/>
      <c r="AG510" s="38"/>
      <c r="AJ510" s="38"/>
      <c r="AM510" s="38"/>
      <c r="AP510" s="38"/>
    </row>
    <row r="511" spans="9:42" x14ac:dyDescent="0.2">
      <c r="I511" s="38"/>
      <c r="L511" s="38"/>
      <c r="O511" s="38"/>
      <c r="R511" s="38"/>
      <c r="U511" s="38"/>
      <c r="X511" s="38"/>
      <c r="AA511" s="38"/>
      <c r="AD511" s="38"/>
      <c r="AG511" s="38"/>
      <c r="AJ511" s="38"/>
      <c r="AM511" s="38"/>
      <c r="AP511" s="38"/>
    </row>
    <row r="512" spans="9:42" x14ac:dyDescent="0.2">
      <c r="I512" s="38"/>
      <c r="L512" s="38"/>
      <c r="O512" s="38"/>
      <c r="R512" s="38"/>
      <c r="U512" s="38"/>
      <c r="X512" s="38"/>
      <c r="AA512" s="38"/>
      <c r="AD512" s="38"/>
      <c r="AG512" s="38"/>
      <c r="AJ512" s="38"/>
      <c r="AM512" s="38"/>
      <c r="AP512" s="38"/>
    </row>
    <row r="513" spans="9:42" x14ac:dyDescent="0.2">
      <c r="I513" s="38"/>
      <c r="L513" s="38"/>
      <c r="O513" s="38"/>
      <c r="R513" s="38"/>
      <c r="U513" s="38"/>
      <c r="X513" s="38"/>
      <c r="AA513" s="38"/>
      <c r="AD513" s="38"/>
      <c r="AG513" s="38"/>
      <c r="AJ513" s="38"/>
      <c r="AM513" s="38"/>
      <c r="AP513" s="38"/>
    </row>
    <row r="514" spans="9:42" x14ac:dyDescent="0.2">
      <c r="I514" s="38"/>
      <c r="L514" s="38"/>
      <c r="O514" s="38"/>
      <c r="R514" s="38"/>
      <c r="U514" s="38"/>
      <c r="X514" s="38"/>
      <c r="AA514" s="38"/>
      <c r="AD514" s="38"/>
      <c r="AG514" s="38"/>
      <c r="AJ514" s="38"/>
      <c r="AM514" s="38"/>
      <c r="AP514" s="38"/>
    </row>
    <row r="515" spans="9:42" x14ac:dyDescent="0.2">
      <c r="I515" s="38"/>
      <c r="L515" s="38"/>
      <c r="O515" s="38"/>
      <c r="R515" s="38"/>
      <c r="U515" s="38"/>
      <c r="X515" s="38"/>
      <c r="AA515" s="38"/>
      <c r="AD515" s="38"/>
      <c r="AG515" s="38"/>
      <c r="AJ515" s="38"/>
      <c r="AM515" s="38"/>
      <c r="AP515" s="38"/>
    </row>
    <row r="516" spans="9:42" x14ac:dyDescent="0.2">
      <c r="I516" s="38"/>
      <c r="L516" s="38"/>
      <c r="O516" s="38"/>
      <c r="R516" s="38"/>
      <c r="U516" s="38"/>
      <c r="X516" s="38"/>
      <c r="AA516" s="38"/>
      <c r="AD516" s="38"/>
      <c r="AG516" s="38"/>
      <c r="AJ516" s="38"/>
      <c r="AM516" s="38"/>
      <c r="AP516" s="38"/>
    </row>
    <row r="517" spans="9:42" x14ac:dyDescent="0.2">
      <c r="I517" s="38"/>
      <c r="L517" s="38"/>
      <c r="O517" s="38"/>
      <c r="R517" s="38"/>
      <c r="U517" s="38"/>
      <c r="X517" s="38"/>
      <c r="AA517" s="38"/>
      <c r="AD517" s="38"/>
      <c r="AG517" s="38"/>
      <c r="AJ517" s="38"/>
      <c r="AM517" s="38"/>
      <c r="AP517" s="38"/>
    </row>
    <row r="518" spans="9:42" x14ac:dyDescent="0.2">
      <c r="I518" s="38"/>
      <c r="L518" s="38"/>
      <c r="O518" s="38"/>
      <c r="R518" s="38"/>
      <c r="U518" s="38"/>
      <c r="X518" s="38"/>
      <c r="AA518" s="38"/>
      <c r="AD518" s="38"/>
      <c r="AG518" s="38"/>
      <c r="AJ518" s="38"/>
      <c r="AM518" s="38"/>
      <c r="AP518" s="38"/>
    </row>
    <row r="519" spans="9:42" x14ac:dyDescent="0.2">
      <c r="I519" s="38"/>
      <c r="L519" s="38"/>
      <c r="O519" s="38"/>
      <c r="R519" s="38"/>
      <c r="U519" s="38"/>
      <c r="X519" s="38"/>
      <c r="AA519" s="38"/>
      <c r="AD519" s="38"/>
      <c r="AG519" s="38"/>
      <c r="AJ519" s="38"/>
      <c r="AM519" s="38"/>
      <c r="AP519" s="38"/>
    </row>
    <row r="520" spans="9:42" x14ac:dyDescent="0.2">
      <c r="I520" s="38"/>
      <c r="L520" s="38"/>
      <c r="O520" s="38"/>
      <c r="R520" s="38"/>
      <c r="U520" s="38"/>
      <c r="X520" s="38"/>
      <c r="AA520" s="38"/>
      <c r="AD520" s="38"/>
      <c r="AG520" s="38"/>
      <c r="AJ520" s="38"/>
      <c r="AM520" s="38"/>
      <c r="AP520" s="38"/>
    </row>
    <row r="521" spans="9:42" x14ac:dyDescent="0.2">
      <c r="I521" s="38"/>
      <c r="L521" s="38"/>
      <c r="O521" s="38"/>
      <c r="R521" s="38"/>
      <c r="U521" s="38"/>
      <c r="X521" s="38"/>
      <c r="AA521" s="38"/>
      <c r="AD521" s="38"/>
      <c r="AG521" s="38"/>
      <c r="AJ521" s="38"/>
      <c r="AM521" s="38"/>
      <c r="AP521" s="38"/>
    </row>
    <row r="522" spans="9:42" x14ac:dyDescent="0.2">
      <c r="I522" s="38"/>
      <c r="L522" s="38"/>
      <c r="O522" s="38"/>
      <c r="R522" s="38"/>
      <c r="U522" s="38"/>
      <c r="X522" s="38"/>
      <c r="AA522" s="38"/>
      <c r="AD522" s="38"/>
      <c r="AG522" s="38"/>
      <c r="AJ522" s="38"/>
      <c r="AM522" s="38"/>
      <c r="AP522" s="38"/>
    </row>
    <row r="523" spans="9:42" x14ac:dyDescent="0.2">
      <c r="I523" s="38"/>
      <c r="L523" s="38"/>
      <c r="O523" s="38"/>
      <c r="R523" s="38"/>
      <c r="U523" s="38"/>
      <c r="X523" s="38"/>
      <c r="AA523" s="38"/>
      <c r="AD523" s="38"/>
      <c r="AG523" s="38"/>
      <c r="AJ523" s="38"/>
      <c r="AM523" s="38"/>
      <c r="AP523" s="38"/>
    </row>
    <row r="524" spans="9:42" x14ac:dyDescent="0.2">
      <c r="I524" s="38"/>
      <c r="L524" s="38"/>
      <c r="O524" s="38"/>
      <c r="R524" s="38"/>
      <c r="U524" s="38"/>
      <c r="X524" s="38"/>
      <c r="AA524" s="38"/>
      <c r="AD524" s="38"/>
      <c r="AG524" s="38"/>
      <c r="AJ524" s="38"/>
      <c r="AM524" s="38"/>
      <c r="AP524" s="38"/>
    </row>
    <row r="525" spans="9:42" x14ac:dyDescent="0.2">
      <c r="I525" s="38"/>
      <c r="L525" s="38"/>
      <c r="O525" s="38"/>
      <c r="R525" s="38"/>
      <c r="U525" s="38"/>
      <c r="X525" s="38"/>
      <c r="AA525" s="38"/>
      <c r="AD525" s="38"/>
      <c r="AG525" s="38"/>
      <c r="AJ525" s="38"/>
      <c r="AM525" s="38"/>
      <c r="AP525" s="38"/>
    </row>
    <row r="526" spans="9:42" x14ac:dyDescent="0.2">
      <c r="I526" s="38"/>
      <c r="L526" s="38"/>
      <c r="O526" s="38"/>
      <c r="R526" s="38"/>
      <c r="U526" s="38"/>
      <c r="X526" s="38"/>
      <c r="AA526" s="38"/>
      <c r="AD526" s="38"/>
      <c r="AG526" s="38"/>
      <c r="AJ526" s="38"/>
      <c r="AM526" s="38"/>
      <c r="AP526" s="38"/>
    </row>
    <row r="527" spans="9:42" x14ac:dyDescent="0.2">
      <c r="I527" s="38"/>
      <c r="L527" s="38"/>
      <c r="O527" s="38"/>
      <c r="R527" s="38"/>
      <c r="U527" s="38"/>
      <c r="X527" s="38"/>
      <c r="AA527" s="38"/>
      <c r="AD527" s="38"/>
      <c r="AG527" s="38"/>
      <c r="AJ527" s="38"/>
      <c r="AM527" s="38"/>
      <c r="AP527" s="38"/>
    </row>
    <row r="528" spans="9:42" x14ac:dyDescent="0.2">
      <c r="I528" s="38"/>
      <c r="L528" s="38"/>
      <c r="O528" s="38"/>
      <c r="R528" s="38"/>
      <c r="U528" s="38"/>
      <c r="X528" s="38"/>
      <c r="AA528" s="38"/>
      <c r="AD528" s="38"/>
      <c r="AG528" s="38"/>
      <c r="AJ528" s="38"/>
      <c r="AM528" s="38"/>
      <c r="AP528" s="38"/>
    </row>
    <row r="529" spans="9:42" x14ac:dyDescent="0.2">
      <c r="I529" s="38"/>
      <c r="L529" s="38"/>
      <c r="O529" s="38"/>
      <c r="R529" s="38"/>
      <c r="U529" s="38"/>
      <c r="X529" s="38"/>
      <c r="AA529" s="38"/>
      <c r="AD529" s="38"/>
      <c r="AG529" s="38"/>
      <c r="AJ529" s="38"/>
      <c r="AM529" s="38"/>
      <c r="AP529" s="38"/>
    </row>
    <row r="530" spans="9:42" x14ac:dyDescent="0.2">
      <c r="I530" s="38"/>
      <c r="L530" s="38"/>
      <c r="O530" s="38"/>
      <c r="R530" s="38"/>
      <c r="U530" s="38"/>
      <c r="X530" s="38"/>
      <c r="AA530" s="38"/>
      <c r="AD530" s="38"/>
      <c r="AG530" s="38"/>
      <c r="AJ530" s="38"/>
      <c r="AM530" s="38"/>
      <c r="AP530" s="38"/>
    </row>
    <row r="531" spans="9:42" x14ac:dyDescent="0.2">
      <c r="I531" s="38"/>
      <c r="L531" s="38"/>
      <c r="O531" s="38"/>
      <c r="R531" s="38"/>
      <c r="U531" s="38"/>
      <c r="X531" s="38"/>
      <c r="AA531" s="38"/>
      <c r="AD531" s="38"/>
      <c r="AG531" s="38"/>
      <c r="AJ531" s="38"/>
      <c r="AM531" s="38"/>
      <c r="AP531" s="38"/>
    </row>
    <row r="532" spans="9:42" x14ac:dyDescent="0.2">
      <c r="I532" s="38"/>
      <c r="L532" s="38"/>
      <c r="O532" s="38"/>
      <c r="R532" s="38"/>
      <c r="U532" s="38"/>
      <c r="X532" s="38"/>
      <c r="AA532" s="38"/>
      <c r="AD532" s="38"/>
      <c r="AG532" s="38"/>
      <c r="AJ532" s="38"/>
      <c r="AM532" s="38"/>
      <c r="AP532" s="38"/>
    </row>
    <row r="533" spans="9:42" x14ac:dyDescent="0.2">
      <c r="I533" s="38"/>
      <c r="L533" s="38"/>
      <c r="O533" s="38"/>
      <c r="R533" s="38"/>
      <c r="U533" s="38"/>
      <c r="X533" s="38"/>
      <c r="AA533" s="38"/>
      <c r="AD533" s="38"/>
      <c r="AG533" s="38"/>
      <c r="AJ533" s="38"/>
      <c r="AM533" s="38"/>
      <c r="AP533" s="38"/>
    </row>
    <row r="534" spans="9:42" x14ac:dyDescent="0.2">
      <c r="I534" s="38"/>
      <c r="L534" s="38"/>
      <c r="O534" s="38"/>
      <c r="R534" s="38"/>
      <c r="U534" s="38"/>
      <c r="X534" s="38"/>
      <c r="AA534" s="38"/>
      <c r="AD534" s="38"/>
      <c r="AG534" s="38"/>
      <c r="AJ534" s="38"/>
      <c r="AM534" s="38"/>
      <c r="AP534" s="38"/>
    </row>
    <row r="535" spans="9:42" x14ac:dyDescent="0.2">
      <c r="I535" s="38"/>
      <c r="L535" s="38"/>
      <c r="O535" s="38"/>
      <c r="R535" s="38"/>
      <c r="U535" s="38"/>
      <c r="X535" s="38"/>
      <c r="AA535" s="38"/>
      <c r="AD535" s="38"/>
      <c r="AG535" s="38"/>
      <c r="AJ535" s="38"/>
      <c r="AM535" s="38"/>
      <c r="AP535" s="38"/>
    </row>
    <row r="536" spans="9:42" x14ac:dyDescent="0.2">
      <c r="I536" s="38"/>
      <c r="L536" s="38"/>
      <c r="O536" s="38"/>
      <c r="R536" s="38"/>
      <c r="U536" s="38"/>
      <c r="X536" s="38"/>
      <c r="AA536" s="38"/>
      <c r="AD536" s="38"/>
      <c r="AG536" s="38"/>
      <c r="AJ536" s="38"/>
      <c r="AM536" s="38"/>
      <c r="AP536" s="38"/>
    </row>
    <row r="537" spans="9:42" x14ac:dyDescent="0.2">
      <c r="I537" s="38"/>
      <c r="L537" s="38"/>
      <c r="O537" s="38"/>
      <c r="R537" s="38"/>
      <c r="U537" s="38"/>
      <c r="X537" s="38"/>
      <c r="AA537" s="38"/>
      <c r="AD537" s="38"/>
      <c r="AG537" s="38"/>
      <c r="AJ537" s="38"/>
      <c r="AM537" s="38"/>
      <c r="AP537" s="38"/>
    </row>
    <row r="538" spans="9:42" x14ac:dyDescent="0.2">
      <c r="I538" s="38"/>
      <c r="L538" s="38"/>
      <c r="O538" s="38"/>
      <c r="R538" s="38"/>
      <c r="U538" s="38"/>
      <c r="X538" s="38"/>
      <c r="AA538" s="38"/>
      <c r="AD538" s="38"/>
      <c r="AG538" s="38"/>
      <c r="AJ538" s="38"/>
      <c r="AM538" s="38"/>
      <c r="AP538" s="38"/>
    </row>
    <row r="539" spans="9:42" x14ac:dyDescent="0.2">
      <c r="I539" s="38"/>
      <c r="L539" s="38"/>
      <c r="O539" s="38"/>
      <c r="R539" s="38"/>
      <c r="U539" s="38"/>
      <c r="X539" s="38"/>
      <c r="AA539" s="38"/>
      <c r="AD539" s="38"/>
      <c r="AG539" s="38"/>
      <c r="AJ539" s="38"/>
      <c r="AM539" s="38"/>
      <c r="AP539" s="38"/>
    </row>
    <row r="540" spans="9:42" x14ac:dyDescent="0.2">
      <c r="I540" s="38"/>
      <c r="L540" s="38"/>
      <c r="O540" s="38"/>
      <c r="R540" s="38"/>
      <c r="U540" s="38"/>
      <c r="X540" s="38"/>
      <c r="AA540" s="38"/>
      <c r="AD540" s="38"/>
      <c r="AG540" s="38"/>
      <c r="AJ540" s="38"/>
      <c r="AM540" s="38"/>
      <c r="AP540" s="38"/>
    </row>
    <row r="541" spans="9:42" x14ac:dyDescent="0.2">
      <c r="I541" s="38"/>
      <c r="L541" s="38"/>
      <c r="O541" s="38"/>
      <c r="R541" s="38"/>
      <c r="U541" s="38"/>
      <c r="X541" s="38"/>
      <c r="AA541" s="38"/>
      <c r="AD541" s="38"/>
      <c r="AG541" s="38"/>
      <c r="AJ541" s="38"/>
      <c r="AM541" s="38"/>
      <c r="AP541" s="38"/>
    </row>
    <row r="542" spans="9:42" x14ac:dyDescent="0.2">
      <c r="I542" s="38"/>
      <c r="L542" s="38"/>
      <c r="O542" s="38"/>
      <c r="R542" s="38"/>
      <c r="U542" s="38"/>
      <c r="X542" s="38"/>
      <c r="AA542" s="38"/>
      <c r="AD542" s="38"/>
      <c r="AG542" s="38"/>
      <c r="AJ542" s="38"/>
      <c r="AM542" s="38"/>
      <c r="AP542" s="38"/>
    </row>
    <row r="543" spans="9:42" x14ac:dyDescent="0.2">
      <c r="I543" s="38"/>
      <c r="L543" s="38"/>
      <c r="O543" s="38"/>
      <c r="R543" s="38"/>
      <c r="U543" s="38"/>
      <c r="X543" s="38"/>
      <c r="AA543" s="38"/>
      <c r="AD543" s="38"/>
      <c r="AG543" s="38"/>
      <c r="AJ543" s="38"/>
      <c r="AM543" s="38"/>
      <c r="AP543" s="38"/>
    </row>
    <row r="544" spans="9:42" x14ac:dyDescent="0.2">
      <c r="I544" s="38"/>
      <c r="L544" s="38"/>
      <c r="O544" s="38"/>
      <c r="R544" s="38"/>
      <c r="U544" s="38"/>
      <c r="X544" s="38"/>
      <c r="AA544" s="38"/>
      <c r="AD544" s="38"/>
      <c r="AG544" s="38"/>
      <c r="AJ544" s="38"/>
      <c r="AM544" s="38"/>
      <c r="AP544" s="38"/>
    </row>
    <row r="545" spans="9:42" x14ac:dyDescent="0.2">
      <c r="I545" s="38"/>
      <c r="L545" s="38"/>
      <c r="O545" s="38"/>
      <c r="R545" s="38"/>
      <c r="U545" s="38"/>
      <c r="X545" s="38"/>
      <c r="AA545" s="38"/>
      <c r="AD545" s="38"/>
      <c r="AG545" s="38"/>
      <c r="AJ545" s="38"/>
      <c r="AM545" s="38"/>
      <c r="AP545" s="38"/>
    </row>
    <row r="546" spans="9:42" x14ac:dyDescent="0.2">
      <c r="I546" s="38"/>
      <c r="L546" s="38"/>
      <c r="O546" s="38"/>
      <c r="R546" s="38"/>
      <c r="U546" s="38"/>
      <c r="X546" s="38"/>
      <c r="AA546" s="38"/>
      <c r="AD546" s="38"/>
      <c r="AG546" s="38"/>
      <c r="AJ546" s="38"/>
      <c r="AM546" s="38"/>
      <c r="AP546" s="38"/>
    </row>
    <row r="547" spans="9:42" x14ac:dyDescent="0.2">
      <c r="I547" s="38"/>
      <c r="L547" s="38"/>
      <c r="O547" s="38"/>
      <c r="R547" s="38"/>
      <c r="U547" s="38"/>
      <c r="X547" s="38"/>
      <c r="AA547" s="38"/>
      <c r="AD547" s="38"/>
      <c r="AG547" s="38"/>
      <c r="AJ547" s="38"/>
      <c r="AM547" s="38"/>
      <c r="AP547" s="38"/>
    </row>
    <row r="548" spans="9:42" x14ac:dyDescent="0.2">
      <c r="I548" s="38"/>
      <c r="L548" s="38"/>
      <c r="O548" s="38"/>
      <c r="R548" s="38"/>
      <c r="U548" s="38"/>
      <c r="X548" s="38"/>
      <c r="AA548" s="38"/>
      <c r="AD548" s="38"/>
      <c r="AG548" s="38"/>
      <c r="AJ548" s="38"/>
      <c r="AM548" s="38"/>
      <c r="AP548" s="38"/>
    </row>
    <row r="549" spans="9:42" x14ac:dyDescent="0.2">
      <c r="I549" s="38"/>
      <c r="L549" s="38"/>
      <c r="O549" s="38"/>
      <c r="R549" s="38"/>
      <c r="U549" s="38"/>
      <c r="X549" s="38"/>
      <c r="AA549" s="38"/>
      <c r="AD549" s="38"/>
      <c r="AG549" s="38"/>
      <c r="AJ549" s="38"/>
      <c r="AM549" s="38"/>
      <c r="AP549" s="38"/>
    </row>
    <row r="550" spans="9:42" x14ac:dyDescent="0.2">
      <c r="I550" s="38"/>
      <c r="L550" s="38"/>
      <c r="O550" s="38"/>
      <c r="R550" s="38"/>
      <c r="U550" s="38"/>
      <c r="X550" s="38"/>
      <c r="AA550" s="38"/>
      <c r="AD550" s="38"/>
      <c r="AG550" s="38"/>
      <c r="AJ550" s="38"/>
      <c r="AM550" s="38"/>
      <c r="AP550" s="38"/>
    </row>
    <row r="551" spans="9:42" x14ac:dyDescent="0.2">
      <c r="I551" s="38"/>
      <c r="L551" s="38"/>
      <c r="O551" s="38"/>
      <c r="R551" s="38"/>
      <c r="U551" s="38"/>
      <c r="X551" s="38"/>
      <c r="AA551" s="38"/>
      <c r="AD551" s="38"/>
      <c r="AG551" s="38"/>
      <c r="AJ551" s="38"/>
      <c r="AM551" s="38"/>
      <c r="AP551" s="38"/>
    </row>
    <row r="552" spans="9:42" x14ac:dyDescent="0.2">
      <c r="I552" s="38"/>
      <c r="L552" s="38"/>
      <c r="O552" s="38"/>
      <c r="R552" s="38"/>
      <c r="U552" s="38"/>
      <c r="X552" s="38"/>
      <c r="AA552" s="38"/>
      <c r="AD552" s="38"/>
      <c r="AG552" s="38"/>
      <c r="AJ552" s="38"/>
      <c r="AM552" s="38"/>
      <c r="AP552" s="38"/>
    </row>
    <row r="553" spans="9:42" x14ac:dyDescent="0.2">
      <c r="I553" s="38"/>
      <c r="L553" s="38"/>
      <c r="O553" s="38"/>
      <c r="R553" s="38"/>
      <c r="U553" s="38"/>
      <c r="X553" s="38"/>
      <c r="AA553" s="38"/>
      <c r="AD553" s="38"/>
      <c r="AG553" s="38"/>
      <c r="AJ553" s="38"/>
      <c r="AM553" s="38"/>
      <c r="AP553" s="38"/>
    </row>
    <row r="554" spans="9:42" x14ac:dyDescent="0.2">
      <c r="I554" s="38"/>
      <c r="L554" s="38"/>
      <c r="O554" s="38"/>
      <c r="R554" s="38"/>
      <c r="U554" s="38"/>
      <c r="X554" s="38"/>
      <c r="AA554" s="38"/>
      <c r="AD554" s="38"/>
      <c r="AG554" s="38"/>
      <c r="AJ554" s="38"/>
      <c r="AM554" s="38"/>
      <c r="AP554" s="38"/>
    </row>
    <row r="555" spans="9:42" x14ac:dyDescent="0.2">
      <c r="I555" s="38"/>
      <c r="L555" s="38"/>
      <c r="O555" s="38"/>
      <c r="R555" s="38"/>
      <c r="U555" s="38"/>
      <c r="X555" s="38"/>
      <c r="AA555" s="38"/>
      <c r="AD555" s="38"/>
      <c r="AG555" s="38"/>
      <c r="AJ555" s="38"/>
      <c r="AM555" s="38"/>
      <c r="AP555" s="38"/>
    </row>
    <row r="556" spans="9:42" x14ac:dyDescent="0.2">
      <c r="I556" s="38"/>
      <c r="L556" s="38"/>
      <c r="O556" s="38"/>
      <c r="R556" s="38"/>
      <c r="U556" s="38"/>
      <c r="X556" s="38"/>
      <c r="AA556" s="38"/>
      <c r="AD556" s="38"/>
      <c r="AG556" s="38"/>
      <c r="AJ556" s="38"/>
      <c r="AM556" s="38"/>
      <c r="AP556" s="38"/>
    </row>
    <row r="557" spans="9:42" x14ac:dyDescent="0.2">
      <c r="I557" s="38"/>
      <c r="L557" s="38"/>
      <c r="O557" s="38"/>
      <c r="R557" s="38"/>
      <c r="U557" s="38"/>
      <c r="X557" s="38"/>
      <c r="AA557" s="38"/>
      <c r="AD557" s="38"/>
      <c r="AG557" s="38"/>
      <c r="AJ557" s="38"/>
      <c r="AM557" s="38"/>
      <c r="AP557" s="38"/>
    </row>
    <row r="558" spans="9:42" x14ac:dyDescent="0.2">
      <c r="I558" s="38"/>
      <c r="L558" s="38"/>
      <c r="O558" s="38"/>
      <c r="R558" s="38"/>
      <c r="U558" s="38"/>
      <c r="X558" s="38"/>
      <c r="AA558" s="38"/>
      <c r="AD558" s="38"/>
      <c r="AG558" s="38"/>
      <c r="AJ558" s="38"/>
      <c r="AM558" s="38"/>
      <c r="AP558" s="38"/>
    </row>
    <row r="559" spans="9:42" x14ac:dyDescent="0.2">
      <c r="I559" s="38"/>
      <c r="L559" s="38"/>
      <c r="O559" s="38"/>
      <c r="R559" s="38"/>
      <c r="U559" s="38"/>
      <c r="X559" s="38"/>
      <c r="AA559" s="38"/>
      <c r="AD559" s="38"/>
      <c r="AG559" s="38"/>
      <c r="AJ559" s="38"/>
      <c r="AM559" s="38"/>
      <c r="AP559" s="38"/>
    </row>
    <row r="560" spans="9:42" x14ac:dyDescent="0.2">
      <c r="I560" s="38"/>
      <c r="L560" s="38"/>
      <c r="O560" s="38"/>
      <c r="R560" s="38"/>
      <c r="U560" s="38"/>
      <c r="X560" s="38"/>
      <c r="AA560" s="38"/>
      <c r="AD560" s="38"/>
      <c r="AG560" s="38"/>
      <c r="AJ560" s="38"/>
      <c r="AM560" s="38"/>
      <c r="AP560" s="38"/>
    </row>
    <row r="561" spans="9:42" x14ac:dyDescent="0.2">
      <c r="I561" s="38"/>
      <c r="L561" s="38"/>
      <c r="O561" s="38"/>
      <c r="R561" s="38"/>
      <c r="U561" s="38"/>
      <c r="X561" s="38"/>
      <c r="AA561" s="38"/>
      <c r="AD561" s="38"/>
      <c r="AG561" s="38"/>
      <c r="AJ561" s="38"/>
      <c r="AM561" s="38"/>
      <c r="AP561" s="38"/>
    </row>
    <row r="562" spans="9:42" x14ac:dyDescent="0.2">
      <c r="I562" s="38"/>
      <c r="L562" s="38"/>
      <c r="O562" s="38"/>
      <c r="R562" s="38"/>
      <c r="U562" s="38"/>
      <c r="X562" s="38"/>
      <c r="AA562" s="38"/>
      <c r="AD562" s="38"/>
      <c r="AG562" s="38"/>
      <c r="AJ562" s="38"/>
      <c r="AM562" s="38"/>
      <c r="AP562" s="38"/>
    </row>
    <row r="563" spans="9:42" x14ac:dyDescent="0.2">
      <c r="I563" s="38"/>
      <c r="L563" s="38"/>
      <c r="O563" s="38"/>
      <c r="R563" s="38"/>
      <c r="U563" s="38"/>
      <c r="X563" s="38"/>
      <c r="AA563" s="38"/>
      <c r="AD563" s="38"/>
      <c r="AG563" s="38"/>
      <c r="AJ563" s="38"/>
      <c r="AM563" s="38"/>
      <c r="AP563" s="38"/>
    </row>
    <row r="564" spans="9:42" x14ac:dyDescent="0.2">
      <c r="I564" s="38"/>
      <c r="L564" s="38"/>
      <c r="O564" s="38"/>
      <c r="R564" s="38"/>
      <c r="U564" s="38"/>
      <c r="X564" s="38"/>
      <c r="AA564" s="38"/>
      <c r="AD564" s="38"/>
      <c r="AG564" s="38"/>
      <c r="AJ564" s="38"/>
      <c r="AM564" s="38"/>
      <c r="AP564" s="38"/>
    </row>
    <row r="565" spans="9:42" x14ac:dyDescent="0.2">
      <c r="I565" s="38"/>
      <c r="L565" s="38"/>
      <c r="O565" s="38"/>
      <c r="R565" s="38"/>
      <c r="U565" s="38"/>
      <c r="X565" s="38"/>
      <c r="AA565" s="38"/>
      <c r="AD565" s="38"/>
      <c r="AG565" s="38"/>
      <c r="AJ565" s="38"/>
      <c r="AM565" s="38"/>
      <c r="AP565" s="38"/>
    </row>
    <row r="566" spans="9:42" x14ac:dyDescent="0.2">
      <c r="I566" s="38"/>
      <c r="L566" s="38"/>
      <c r="O566" s="38"/>
      <c r="R566" s="38"/>
      <c r="U566" s="38"/>
      <c r="X566" s="38"/>
      <c r="AA566" s="38"/>
      <c r="AD566" s="38"/>
      <c r="AG566" s="38"/>
      <c r="AJ566" s="38"/>
      <c r="AM566" s="38"/>
      <c r="AP566" s="38"/>
    </row>
    <row r="567" spans="9:42" x14ac:dyDescent="0.2">
      <c r="I567" s="38"/>
      <c r="L567" s="38"/>
      <c r="O567" s="38"/>
      <c r="R567" s="38"/>
      <c r="U567" s="38"/>
      <c r="X567" s="38"/>
      <c r="AA567" s="38"/>
      <c r="AD567" s="38"/>
      <c r="AG567" s="38"/>
      <c r="AJ567" s="38"/>
      <c r="AM567" s="38"/>
      <c r="AP567" s="38"/>
    </row>
    <row r="568" spans="9:42" x14ac:dyDescent="0.2">
      <c r="I568" s="38"/>
      <c r="L568" s="38"/>
      <c r="O568" s="38"/>
      <c r="R568" s="38"/>
      <c r="U568" s="38"/>
      <c r="X568" s="38"/>
      <c r="AA568" s="38"/>
      <c r="AD568" s="38"/>
      <c r="AG568" s="38"/>
      <c r="AJ568" s="38"/>
      <c r="AM568" s="38"/>
      <c r="AP568" s="38"/>
    </row>
    <row r="569" spans="9:42" x14ac:dyDescent="0.2">
      <c r="I569" s="38"/>
      <c r="L569" s="38"/>
      <c r="O569" s="38"/>
      <c r="R569" s="38"/>
      <c r="U569" s="38"/>
      <c r="X569" s="38"/>
      <c r="AA569" s="38"/>
      <c r="AD569" s="38"/>
      <c r="AG569" s="38"/>
      <c r="AJ569" s="38"/>
      <c r="AM569" s="38"/>
      <c r="AP569" s="38"/>
    </row>
    <row r="570" spans="9:42" x14ac:dyDescent="0.2">
      <c r="I570" s="38"/>
      <c r="L570" s="38"/>
      <c r="O570" s="38"/>
      <c r="R570" s="38"/>
      <c r="U570" s="38"/>
      <c r="X570" s="38"/>
      <c r="AA570" s="38"/>
      <c r="AD570" s="38"/>
      <c r="AG570" s="38"/>
      <c r="AJ570" s="38"/>
      <c r="AM570" s="38"/>
      <c r="AP570" s="38"/>
    </row>
    <row r="571" spans="9:42" x14ac:dyDescent="0.2">
      <c r="I571" s="38"/>
      <c r="L571" s="38"/>
      <c r="O571" s="38"/>
      <c r="R571" s="38"/>
      <c r="U571" s="38"/>
      <c r="X571" s="38"/>
      <c r="AA571" s="38"/>
      <c r="AD571" s="38"/>
      <c r="AG571" s="38"/>
      <c r="AJ571" s="38"/>
      <c r="AM571" s="38"/>
      <c r="AP571" s="38"/>
    </row>
    <row r="572" spans="9:42" x14ac:dyDescent="0.2">
      <c r="I572" s="38"/>
      <c r="L572" s="38"/>
      <c r="O572" s="38"/>
      <c r="R572" s="38"/>
      <c r="U572" s="38"/>
      <c r="X572" s="38"/>
      <c r="AA572" s="38"/>
      <c r="AD572" s="38"/>
      <c r="AG572" s="38"/>
      <c r="AJ572" s="38"/>
      <c r="AM572" s="38"/>
      <c r="AP572" s="38"/>
    </row>
    <row r="573" spans="9:42" x14ac:dyDescent="0.2">
      <c r="I573" s="38"/>
      <c r="L573" s="38"/>
      <c r="O573" s="38"/>
      <c r="R573" s="38"/>
      <c r="U573" s="38"/>
      <c r="X573" s="38"/>
      <c r="AA573" s="38"/>
      <c r="AD573" s="38"/>
      <c r="AG573" s="38"/>
      <c r="AJ573" s="38"/>
      <c r="AM573" s="38"/>
      <c r="AP573" s="38"/>
    </row>
    <row r="574" spans="9:42" x14ac:dyDescent="0.2">
      <c r="I574" s="38"/>
      <c r="L574" s="38"/>
      <c r="O574" s="38"/>
      <c r="R574" s="38"/>
      <c r="U574" s="38"/>
      <c r="X574" s="38"/>
      <c r="AA574" s="38"/>
      <c r="AD574" s="38"/>
      <c r="AG574" s="38"/>
      <c r="AJ574" s="38"/>
      <c r="AM574" s="38"/>
      <c r="AP574" s="38"/>
    </row>
    <row r="575" spans="9:42" x14ac:dyDescent="0.2">
      <c r="I575" s="38"/>
      <c r="L575" s="38"/>
      <c r="O575" s="38"/>
      <c r="R575" s="38"/>
      <c r="U575" s="38"/>
      <c r="X575" s="38"/>
      <c r="AA575" s="38"/>
      <c r="AD575" s="38"/>
      <c r="AG575" s="38"/>
      <c r="AJ575" s="38"/>
      <c r="AM575" s="38"/>
      <c r="AP575" s="38"/>
    </row>
    <row r="576" spans="9:42" x14ac:dyDescent="0.2">
      <c r="I576" s="38"/>
      <c r="L576" s="38"/>
      <c r="O576" s="38"/>
      <c r="R576" s="38"/>
      <c r="U576" s="38"/>
      <c r="X576" s="38"/>
      <c r="AA576" s="38"/>
      <c r="AD576" s="38"/>
      <c r="AG576" s="38"/>
      <c r="AJ576" s="38"/>
      <c r="AM576" s="38"/>
      <c r="AP576" s="38"/>
    </row>
    <row r="577" spans="9:42" x14ac:dyDescent="0.2">
      <c r="I577" s="38"/>
      <c r="L577" s="38"/>
      <c r="O577" s="38"/>
      <c r="R577" s="38"/>
      <c r="U577" s="38"/>
      <c r="X577" s="38"/>
      <c r="AA577" s="38"/>
      <c r="AD577" s="38"/>
      <c r="AG577" s="38"/>
      <c r="AJ577" s="38"/>
      <c r="AM577" s="38"/>
      <c r="AP577" s="38"/>
    </row>
    <row r="578" spans="9:42" x14ac:dyDescent="0.2">
      <c r="I578" s="38"/>
      <c r="L578" s="38"/>
      <c r="O578" s="38"/>
      <c r="R578" s="38"/>
      <c r="U578" s="38"/>
      <c r="X578" s="38"/>
      <c r="AA578" s="38"/>
      <c r="AD578" s="38"/>
      <c r="AG578" s="38"/>
      <c r="AJ578" s="38"/>
      <c r="AM578" s="38"/>
      <c r="AP578" s="38"/>
    </row>
    <row r="579" spans="9:42" x14ac:dyDescent="0.2">
      <c r="I579" s="38"/>
      <c r="L579" s="38"/>
      <c r="O579" s="38"/>
      <c r="R579" s="38"/>
      <c r="U579" s="38"/>
      <c r="X579" s="38"/>
      <c r="AA579" s="38"/>
      <c r="AD579" s="38"/>
      <c r="AG579" s="38"/>
      <c r="AJ579" s="38"/>
      <c r="AM579" s="38"/>
      <c r="AP579" s="38"/>
    </row>
    <row r="580" spans="9:42" x14ac:dyDescent="0.2">
      <c r="I580" s="38"/>
      <c r="L580" s="38"/>
      <c r="O580" s="38"/>
      <c r="R580" s="38"/>
      <c r="U580" s="38"/>
      <c r="X580" s="38"/>
      <c r="AA580" s="38"/>
      <c r="AD580" s="38"/>
      <c r="AG580" s="38"/>
      <c r="AJ580" s="38"/>
      <c r="AM580" s="38"/>
      <c r="AP580" s="38"/>
    </row>
    <row r="581" spans="9:42" x14ac:dyDescent="0.2">
      <c r="I581" s="38"/>
      <c r="L581" s="38"/>
      <c r="O581" s="38"/>
      <c r="R581" s="38"/>
      <c r="U581" s="38"/>
      <c r="X581" s="38"/>
      <c r="AA581" s="38"/>
      <c r="AD581" s="38"/>
      <c r="AG581" s="38"/>
      <c r="AJ581" s="38"/>
      <c r="AM581" s="38"/>
      <c r="AP581" s="38"/>
    </row>
    <row r="582" spans="9:42" x14ac:dyDescent="0.2">
      <c r="I582" s="38"/>
      <c r="L582" s="38"/>
      <c r="O582" s="38"/>
      <c r="R582" s="38"/>
      <c r="U582" s="38"/>
      <c r="X582" s="38"/>
      <c r="AA582" s="38"/>
      <c r="AD582" s="38"/>
      <c r="AG582" s="38"/>
      <c r="AJ582" s="38"/>
      <c r="AM582" s="38"/>
      <c r="AP582" s="38"/>
    </row>
    <row r="583" spans="9:42" x14ac:dyDescent="0.2">
      <c r="I583" s="38"/>
      <c r="L583" s="38"/>
      <c r="O583" s="38"/>
      <c r="R583" s="38"/>
      <c r="U583" s="38"/>
      <c r="X583" s="38"/>
      <c r="AA583" s="38"/>
      <c r="AD583" s="38"/>
      <c r="AG583" s="38"/>
      <c r="AJ583" s="38"/>
      <c r="AM583" s="38"/>
      <c r="AP583" s="38"/>
    </row>
    <row r="584" spans="9:42" x14ac:dyDescent="0.2">
      <c r="I584" s="38"/>
      <c r="L584" s="38"/>
      <c r="O584" s="38"/>
      <c r="R584" s="38"/>
      <c r="U584" s="38"/>
      <c r="X584" s="38"/>
      <c r="AA584" s="38"/>
      <c r="AD584" s="38"/>
      <c r="AG584" s="38"/>
      <c r="AJ584" s="38"/>
      <c r="AM584" s="38"/>
      <c r="AP584" s="38"/>
    </row>
    <row r="585" spans="9:42" x14ac:dyDescent="0.2">
      <c r="I585" s="38"/>
      <c r="L585" s="38"/>
      <c r="O585" s="38"/>
      <c r="R585" s="38"/>
      <c r="U585" s="38"/>
      <c r="X585" s="38"/>
      <c r="AA585" s="38"/>
      <c r="AD585" s="38"/>
      <c r="AG585" s="38"/>
      <c r="AJ585" s="38"/>
      <c r="AM585" s="38"/>
      <c r="AP585" s="38"/>
    </row>
    <row r="586" spans="9:42" x14ac:dyDescent="0.2">
      <c r="I586" s="38"/>
      <c r="L586" s="38"/>
      <c r="O586" s="38"/>
      <c r="R586" s="38"/>
      <c r="U586" s="38"/>
      <c r="X586" s="38"/>
      <c r="AA586" s="38"/>
      <c r="AD586" s="38"/>
      <c r="AG586" s="38"/>
      <c r="AJ586" s="38"/>
      <c r="AM586" s="38"/>
      <c r="AP586" s="38"/>
    </row>
    <row r="587" spans="9:42" x14ac:dyDescent="0.2">
      <c r="I587" s="38"/>
      <c r="L587" s="38"/>
      <c r="O587" s="38"/>
      <c r="R587" s="38"/>
      <c r="U587" s="38"/>
      <c r="X587" s="38"/>
      <c r="AA587" s="38"/>
      <c r="AD587" s="38"/>
      <c r="AG587" s="38"/>
      <c r="AJ587" s="38"/>
      <c r="AM587" s="38"/>
      <c r="AP587" s="38"/>
    </row>
    <row r="588" spans="9:42" x14ac:dyDescent="0.2">
      <c r="I588" s="38"/>
      <c r="L588" s="38"/>
      <c r="O588" s="38"/>
      <c r="R588" s="38"/>
      <c r="U588" s="38"/>
      <c r="X588" s="38"/>
      <c r="AA588" s="38"/>
      <c r="AD588" s="38"/>
      <c r="AG588" s="38"/>
      <c r="AJ588" s="38"/>
      <c r="AM588" s="38"/>
      <c r="AP588" s="38"/>
    </row>
    <row r="589" spans="9:42" x14ac:dyDescent="0.2">
      <c r="I589" s="38"/>
      <c r="L589" s="38"/>
      <c r="O589" s="38"/>
      <c r="R589" s="38"/>
      <c r="U589" s="38"/>
      <c r="X589" s="38"/>
      <c r="AA589" s="38"/>
      <c r="AD589" s="38"/>
      <c r="AG589" s="38"/>
      <c r="AJ589" s="38"/>
      <c r="AM589" s="38"/>
      <c r="AP589" s="38"/>
    </row>
    <row r="590" spans="9:42" x14ac:dyDescent="0.2">
      <c r="I590" s="38"/>
      <c r="L590" s="38"/>
      <c r="O590" s="38"/>
      <c r="R590" s="38"/>
      <c r="U590" s="38"/>
      <c r="X590" s="38"/>
      <c r="AA590" s="38"/>
      <c r="AD590" s="38"/>
      <c r="AG590" s="38"/>
      <c r="AJ590" s="38"/>
      <c r="AM590" s="38"/>
      <c r="AP590" s="38"/>
    </row>
    <row r="591" spans="9:42" x14ac:dyDescent="0.2">
      <c r="I591" s="38"/>
      <c r="L591" s="38"/>
      <c r="O591" s="38"/>
      <c r="R591" s="38"/>
      <c r="U591" s="38"/>
      <c r="X591" s="38"/>
      <c r="AA591" s="38"/>
      <c r="AD591" s="38"/>
      <c r="AG591" s="38"/>
      <c r="AJ591" s="38"/>
      <c r="AM591" s="38"/>
      <c r="AP591" s="38"/>
    </row>
    <row r="592" spans="9:42" x14ac:dyDescent="0.2">
      <c r="I592" s="38"/>
      <c r="L592" s="38"/>
      <c r="O592" s="38"/>
      <c r="R592" s="38"/>
      <c r="U592" s="38"/>
      <c r="X592" s="38"/>
      <c r="AA592" s="38"/>
      <c r="AD592" s="38"/>
      <c r="AG592" s="38"/>
      <c r="AJ592" s="38"/>
      <c r="AM592" s="38"/>
      <c r="AP592" s="38"/>
    </row>
    <row r="593" spans="9:42" x14ac:dyDescent="0.2">
      <c r="I593" s="38"/>
      <c r="L593" s="38"/>
      <c r="O593" s="38"/>
      <c r="R593" s="38"/>
      <c r="U593" s="38"/>
      <c r="X593" s="38"/>
      <c r="AA593" s="38"/>
      <c r="AD593" s="38"/>
      <c r="AG593" s="38"/>
      <c r="AJ593" s="38"/>
      <c r="AM593" s="38"/>
      <c r="AP593" s="38"/>
    </row>
    <row r="594" spans="9:42" x14ac:dyDescent="0.2">
      <c r="I594" s="38"/>
      <c r="L594" s="38"/>
      <c r="O594" s="38"/>
      <c r="R594" s="38"/>
      <c r="U594" s="38"/>
      <c r="X594" s="38"/>
      <c r="AA594" s="38"/>
      <c r="AD594" s="38"/>
      <c r="AG594" s="38"/>
      <c r="AJ594" s="38"/>
      <c r="AM594" s="38"/>
      <c r="AP594" s="38"/>
    </row>
    <row r="595" spans="9:42" x14ac:dyDescent="0.2">
      <c r="I595" s="38"/>
      <c r="L595" s="38"/>
      <c r="O595" s="38"/>
      <c r="R595" s="38"/>
      <c r="U595" s="38"/>
      <c r="X595" s="38"/>
      <c r="AA595" s="38"/>
      <c r="AD595" s="38"/>
      <c r="AG595" s="38"/>
      <c r="AJ595" s="38"/>
      <c r="AM595" s="38"/>
      <c r="AP595" s="38"/>
    </row>
    <row r="596" spans="9:42" x14ac:dyDescent="0.2">
      <c r="I596" s="38"/>
      <c r="L596" s="38"/>
      <c r="O596" s="38"/>
      <c r="R596" s="38"/>
      <c r="U596" s="38"/>
      <c r="X596" s="38"/>
      <c r="AA596" s="38"/>
      <c r="AD596" s="38"/>
      <c r="AG596" s="38"/>
      <c r="AJ596" s="38"/>
      <c r="AM596" s="38"/>
      <c r="AP596" s="38"/>
    </row>
    <row r="597" spans="9:42" x14ac:dyDescent="0.2">
      <c r="I597" s="38"/>
      <c r="L597" s="38"/>
      <c r="O597" s="38"/>
      <c r="R597" s="38"/>
      <c r="U597" s="38"/>
      <c r="X597" s="38"/>
      <c r="AA597" s="38"/>
      <c r="AD597" s="38"/>
      <c r="AG597" s="38"/>
      <c r="AJ597" s="38"/>
      <c r="AM597" s="38"/>
      <c r="AP597" s="38"/>
    </row>
    <row r="598" spans="9:42" x14ac:dyDescent="0.2">
      <c r="I598" s="38"/>
      <c r="L598" s="38"/>
      <c r="O598" s="38"/>
      <c r="R598" s="38"/>
      <c r="U598" s="38"/>
      <c r="X598" s="38"/>
      <c r="AA598" s="38"/>
      <c r="AD598" s="38"/>
      <c r="AG598" s="38"/>
      <c r="AJ598" s="38"/>
      <c r="AM598" s="38"/>
      <c r="AP598" s="38"/>
    </row>
    <row r="599" spans="9:42" x14ac:dyDescent="0.2">
      <c r="I599" s="38"/>
      <c r="L599" s="38"/>
      <c r="O599" s="38"/>
      <c r="R599" s="38"/>
      <c r="U599" s="38"/>
      <c r="X599" s="38"/>
      <c r="AA599" s="38"/>
      <c r="AD599" s="38"/>
      <c r="AG599" s="38"/>
      <c r="AJ599" s="38"/>
      <c r="AM599" s="38"/>
      <c r="AP599" s="38"/>
    </row>
    <row r="600" spans="9:42" x14ac:dyDescent="0.2">
      <c r="I600" s="38"/>
      <c r="L600" s="38"/>
      <c r="O600" s="38"/>
      <c r="R600" s="38"/>
      <c r="U600" s="38"/>
      <c r="X600" s="38"/>
      <c r="AA600" s="38"/>
      <c r="AD600" s="38"/>
      <c r="AG600" s="38"/>
      <c r="AJ600" s="38"/>
      <c r="AM600" s="38"/>
      <c r="AP600" s="38"/>
    </row>
    <row r="601" spans="9:42" x14ac:dyDescent="0.2">
      <c r="I601" s="38"/>
      <c r="L601" s="38"/>
      <c r="O601" s="38"/>
      <c r="R601" s="38"/>
      <c r="U601" s="38"/>
      <c r="X601" s="38"/>
      <c r="AA601" s="38"/>
      <c r="AD601" s="38"/>
      <c r="AG601" s="38"/>
      <c r="AJ601" s="38"/>
      <c r="AM601" s="38"/>
      <c r="AP601" s="38"/>
    </row>
    <row r="602" spans="9:42" x14ac:dyDescent="0.2">
      <c r="I602" s="38"/>
      <c r="L602" s="38"/>
      <c r="O602" s="38"/>
      <c r="R602" s="38"/>
      <c r="U602" s="38"/>
      <c r="X602" s="38"/>
      <c r="AA602" s="38"/>
      <c r="AD602" s="38"/>
      <c r="AG602" s="38"/>
      <c r="AJ602" s="38"/>
      <c r="AM602" s="38"/>
      <c r="AP602" s="38"/>
    </row>
    <row r="603" spans="9:42" x14ac:dyDescent="0.2">
      <c r="I603" s="38"/>
      <c r="L603" s="38"/>
      <c r="O603" s="38"/>
      <c r="R603" s="38"/>
      <c r="U603" s="38"/>
      <c r="X603" s="38"/>
      <c r="AA603" s="38"/>
      <c r="AD603" s="38"/>
      <c r="AG603" s="38"/>
      <c r="AJ603" s="38"/>
      <c r="AM603" s="38"/>
      <c r="AP603" s="38"/>
    </row>
    <row r="604" spans="9:42" x14ac:dyDescent="0.2">
      <c r="I604" s="38"/>
      <c r="L604" s="38"/>
      <c r="O604" s="38"/>
      <c r="R604" s="38"/>
      <c r="U604" s="38"/>
      <c r="X604" s="38"/>
      <c r="AA604" s="38"/>
      <c r="AD604" s="38"/>
      <c r="AG604" s="38"/>
      <c r="AJ604" s="38"/>
      <c r="AM604" s="38"/>
      <c r="AP604" s="38"/>
    </row>
    <row r="605" spans="9:42" x14ac:dyDescent="0.2">
      <c r="I605" s="38"/>
      <c r="L605" s="38"/>
      <c r="O605" s="38"/>
      <c r="R605" s="38"/>
      <c r="U605" s="38"/>
      <c r="X605" s="38"/>
      <c r="AA605" s="38"/>
      <c r="AD605" s="38"/>
      <c r="AG605" s="38"/>
      <c r="AJ605" s="38"/>
      <c r="AM605" s="38"/>
      <c r="AP605" s="38"/>
    </row>
    <row r="606" spans="9:42" x14ac:dyDescent="0.2">
      <c r="I606" s="38"/>
      <c r="L606" s="38"/>
      <c r="O606" s="38"/>
      <c r="R606" s="38"/>
      <c r="U606" s="38"/>
      <c r="X606" s="38"/>
      <c r="AA606" s="38"/>
      <c r="AD606" s="38"/>
      <c r="AG606" s="38"/>
      <c r="AJ606" s="38"/>
      <c r="AM606" s="38"/>
      <c r="AP606" s="38"/>
    </row>
    <row r="607" spans="9:42" x14ac:dyDescent="0.2">
      <c r="I607" s="38"/>
      <c r="L607" s="38"/>
      <c r="O607" s="38"/>
      <c r="R607" s="38"/>
      <c r="U607" s="38"/>
      <c r="X607" s="38"/>
      <c r="AA607" s="38"/>
      <c r="AD607" s="38"/>
      <c r="AG607" s="38"/>
      <c r="AJ607" s="38"/>
      <c r="AM607" s="38"/>
      <c r="AP607" s="38"/>
    </row>
    <row r="608" spans="9:42" x14ac:dyDescent="0.2">
      <c r="I608" s="38"/>
      <c r="L608" s="38"/>
      <c r="O608" s="38"/>
      <c r="R608" s="38"/>
      <c r="U608" s="38"/>
      <c r="X608" s="38"/>
      <c r="AA608" s="38"/>
      <c r="AD608" s="38"/>
      <c r="AG608" s="38"/>
      <c r="AJ608" s="38"/>
      <c r="AM608" s="38"/>
      <c r="AP608" s="38"/>
    </row>
    <row r="609" spans="9:42" x14ac:dyDescent="0.2">
      <c r="I609" s="38"/>
      <c r="L609" s="38"/>
      <c r="O609" s="38"/>
      <c r="R609" s="38"/>
      <c r="U609" s="38"/>
      <c r="X609" s="38"/>
      <c r="AA609" s="38"/>
      <c r="AD609" s="38"/>
      <c r="AG609" s="38"/>
      <c r="AJ609" s="38"/>
      <c r="AM609" s="38"/>
      <c r="AP609" s="38"/>
    </row>
    <row r="610" spans="9:42" x14ac:dyDescent="0.2">
      <c r="I610" s="38"/>
      <c r="L610" s="38"/>
      <c r="O610" s="38"/>
      <c r="R610" s="38"/>
      <c r="U610" s="38"/>
      <c r="X610" s="38"/>
      <c r="AA610" s="38"/>
      <c r="AD610" s="38"/>
      <c r="AG610" s="38"/>
      <c r="AJ610" s="38"/>
      <c r="AM610" s="38"/>
      <c r="AP610" s="38"/>
    </row>
    <row r="611" spans="9:42" x14ac:dyDescent="0.2">
      <c r="I611" s="38"/>
      <c r="L611" s="38"/>
      <c r="O611" s="38"/>
      <c r="R611" s="38"/>
      <c r="U611" s="38"/>
      <c r="X611" s="38"/>
      <c r="AA611" s="38"/>
      <c r="AD611" s="38"/>
      <c r="AG611" s="38"/>
      <c r="AJ611" s="38"/>
      <c r="AM611" s="38"/>
      <c r="AP611" s="38"/>
    </row>
    <row r="612" spans="9:42" x14ac:dyDescent="0.2">
      <c r="I612" s="38"/>
      <c r="L612" s="38"/>
      <c r="O612" s="38"/>
      <c r="R612" s="38"/>
      <c r="U612" s="38"/>
      <c r="X612" s="38"/>
      <c r="AA612" s="38"/>
      <c r="AD612" s="38"/>
      <c r="AG612" s="38"/>
      <c r="AJ612" s="38"/>
      <c r="AM612" s="38"/>
      <c r="AP612" s="38"/>
    </row>
    <row r="613" spans="9:42" x14ac:dyDescent="0.2">
      <c r="I613" s="38"/>
      <c r="L613" s="38"/>
      <c r="O613" s="38"/>
      <c r="R613" s="38"/>
      <c r="U613" s="38"/>
      <c r="X613" s="38"/>
      <c r="AA613" s="38"/>
      <c r="AD613" s="38"/>
      <c r="AG613" s="38"/>
      <c r="AJ613" s="38"/>
      <c r="AM613" s="38"/>
      <c r="AP613" s="38"/>
    </row>
    <row r="614" spans="9:42" x14ac:dyDescent="0.2">
      <c r="I614" s="38"/>
      <c r="L614" s="38"/>
      <c r="O614" s="38"/>
      <c r="R614" s="38"/>
      <c r="U614" s="38"/>
      <c r="X614" s="38"/>
      <c r="AA614" s="38"/>
      <c r="AD614" s="38"/>
      <c r="AG614" s="38"/>
      <c r="AJ614" s="38"/>
      <c r="AM614" s="38"/>
      <c r="AP614" s="38"/>
    </row>
    <row r="615" spans="9:42" x14ac:dyDescent="0.2">
      <c r="I615" s="38"/>
      <c r="L615" s="38"/>
      <c r="O615" s="38"/>
      <c r="R615" s="38"/>
      <c r="U615" s="38"/>
      <c r="X615" s="38"/>
      <c r="AA615" s="38"/>
      <c r="AD615" s="38"/>
      <c r="AG615" s="38"/>
      <c r="AJ615" s="38"/>
      <c r="AM615" s="38"/>
      <c r="AP615" s="38"/>
    </row>
    <row r="616" spans="9:42" x14ac:dyDescent="0.2">
      <c r="I616" s="38"/>
      <c r="L616" s="38"/>
      <c r="O616" s="38"/>
      <c r="R616" s="38"/>
      <c r="U616" s="38"/>
      <c r="X616" s="38"/>
      <c r="AA616" s="38"/>
      <c r="AD616" s="38"/>
      <c r="AG616" s="38"/>
      <c r="AJ616" s="38"/>
      <c r="AM616" s="38"/>
      <c r="AP616" s="38"/>
    </row>
    <row r="617" spans="9:42" x14ac:dyDescent="0.2">
      <c r="I617" s="38"/>
      <c r="L617" s="38"/>
      <c r="O617" s="38"/>
      <c r="R617" s="38"/>
      <c r="U617" s="38"/>
      <c r="X617" s="38"/>
      <c r="AA617" s="38"/>
      <c r="AD617" s="38"/>
      <c r="AG617" s="38"/>
      <c r="AJ617" s="38"/>
      <c r="AM617" s="38"/>
      <c r="AP617" s="38"/>
    </row>
    <row r="618" spans="9:42" x14ac:dyDescent="0.2">
      <c r="I618" s="38"/>
      <c r="L618" s="38"/>
      <c r="O618" s="38"/>
      <c r="R618" s="38"/>
      <c r="U618" s="38"/>
      <c r="X618" s="38"/>
      <c r="AA618" s="38"/>
      <c r="AD618" s="38"/>
      <c r="AG618" s="38"/>
      <c r="AJ618" s="38"/>
      <c r="AM618" s="38"/>
      <c r="AP618" s="38"/>
    </row>
    <row r="619" spans="9:42" x14ac:dyDescent="0.2">
      <c r="I619" s="38"/>
      <c r="L619" s="38"/>
      <c r="O619" s="38"/>
      <c r="R619" s="38"/>
      <c r="U619" s="38"/>
      <c r="X619" s="38"/>
      <c r="AA619" s="38"/>
      <c r="AD619" s="38"/>
      <c r="AG619" s="38"/>
      <c r="AJ619" s="38"/>
      <c r="AM619" s="38"/>
      <c r="AP619" s="38"/>
    </row>
    <row r="620" spans="9:42" x14ac:dyDescent="0.2">
      <c r="I620" s="38"/>
      <c r="L620" s="38"/>
      <c r="O620" s="38"/>
      <c r="R620" s="38"/>
      <c r="U620" s="38"/>
      <c r="X620" s="38"/>
      <c r="AA620" s="38"/>
      <c r="AD620" s="38"/>
      <c r="AG620" s="38"/>
      <c r="AJ620" s="38"/>
      <c r="AM620" s="38"/>
      <c r="AP620" s="38"/>
    </row>
    <row r="621" spans="9:42" x14ac:dyDescent="0.2">
      <c r="I621" s="38"/>
      <c r="L621" s="38"/>
      <c r="O621" s="38"/>
      <c r="R621" s="38"/>
      <c r="U621" s="38"/>
      <c r="X621" s="38"/>
      <c r="AA621" s="38"/>
      <c r="AD621" s="38"/>
      <c r="AG621" s="38"/>
      <c r="AJ621" s="38"/>
      <c r="AM621" s="38"/>
      <c r="AP621" s="38"/>
    </row>
    <row r="622" spans="9:42" x14ac:dyDescent="0.2">
      <c r="I622" s="38"/>
      <c r="L622" s="38"/>
      <c r="O622" s="38"/>
      <c r="R622" s="38"/>
      <c r="U622" s="38"/>
      <c r="X622" s="38"/>
      <c r="AA622" s="38"/>
      <c r="AD622" s="38"/>
      <c r="AG622" s="38"/>
      <c r="AJ622" s="38"/>
      <c r="AM622" s="38"/>
      <c r="AP622" s="38"/>
    </row>
    <row r="623" spans="9:42" x14ac:dyDescent="0.2">
      <c r="I623" s="38"/>
      <c r="L623" s="38"/>
      <c r="O623" s="38"/>
      <c r="R623" s="38"/>
      <c r="U623" s="38"/>
      <c r="X623" s="38"/>
      <c r="AA623" s="38"/>
      <c r="AD623" s="38"/>
      <c r="AG623" s="38"/>
      <c r="AJ623" s="38"/>
      <c r="AM623" s="38"/>
      <c r="AP623" s="38"/>
    </row>
    <row r="624" spans="9:42" x14ac:dyDescent="0.2">
      <c r="I624" s="38"/>
      <c r="L624" s="38"/>
      <c r="O624" s="38"/>
      <c r="R624" s="38"/>
      <c r="U624" s="38"/>
      <c r="X624" s="38"/>
      <c r="AA624" s="38"/>
      <c r="AD624" s="38"/>
      <c r="AG624" s="38"/>
      <c r="AJ624" s="38"/>
      <c r="AM624" s="38"/>
      <c r="AP624" s="38"/>
    </row>
    <row r="625" spans="9:42" x14ac:dyDescent="0.2">
      <c r="I625" s="38"/>
      <c r="L625" s="38"/>
      <c r="O625" s="38"/>
      <c r="R625" s="38"/>
      <c r="U625" s="38"/>
      <c r="X625" s="38"/>
      <c r="AA625" s="38"/>
      <c r="AD625" s="38"/>
      <c r="AG625" s="38"/>
      <c r="AJ625" s="38"/>
      <c r="AM625" s="38"/>
      <c r="AP625" s="38"/>
    </row>
    <row r="626" spans="9:42" x14ac:dyDescent="0.2">
      <c r="I626" s="38"/>
      <c r="L626" s="38"/>
      <c r="O626" s="38"/>
      <c r="R626" s="38"/>
      <c r="U626" s="38"/>
      <c r="X626" s="38"/>
      <c r="AA626" s="38"/>
      <c r="AD626" s="38"/>
      <c r="AG626" s="38"/>
      <c r="AJ626" s="38"/>
      <c r="AM626" s="38"/>
      <c r="AP626" s="38"/>
    </row>
    <row r="627" spans="9:42" x14ac:dyDescent="0.2">
      <c r="I627" s="38"/>
      <c r="L627" s="38"/>
      <c r="O627" s="38"/>
      <c r="R627" s="38"/>
      <c r="U627" s="38"/>
      <c r="X627" s="38"/>
      <c r="AA627" s="38"/>
      <c r="AD627" s="38"/>
      <c r="AG627" s="38"/>
      <c r="AJ627" s="38"/>
      <c r="AM627" s="38"/>
      <c r="AP627" s="38"/>
    </row>
    <row r="628" spans="9:42" x14ac:dyDescent="0.2">
      <c r="I628" s="38"/>
      <c r="L628" s="38"/>
      <c r="O628" s="38"/>
      <c r="R628" s="38"/>
      <c r="U628" s="38"/>
      <c r="X628" s="38"/>
      <c r="AA628" s="38"/>
      <c r="AD628" s="38"/>
      <c r="AG628" s="38"/>
      <c r="AJ628" s="38"/>
      <c r="AM628" s="38"/>
      <c r="AP628" s="38"/>
    </row>
    <row r="629" spans="9:42" x14ac:dyDescent="0.2">
      <c r="I629" s="38"/>
      <c r="L629" s="38"/>
      <c r="O629" s="38"/>
      <c r="R629" s="38"/>
      <c r="U629" s="38"/>
      <c r="X629" s="38"/>
      <c r="AA629" s="38"/>
      <c r="AD629" s="38"/>
      <c r="AG629" s="38"/>
      <c r="AJ629" s="38"/>
      <c r="AM629" s="38"/>
      <c r="AP629" s="38"/>
    </row>
    <row r="630" spans="9:42" x14ac:dyDescent="0.2">
      <c r="I630" s="38"/>
      <c r="L630" s="38"/>
      <c r="O630" s="38"/>
      <c r="R630" s="38"/>
      <c r="U630" s="38"/>
      <c r="X630" s="38"/>
      <c r="AA630" s="38"/>
      <c r="AD630" s="38"/>
      <c r="AG630" s="38"/>
      <c r="AJ630" s="38"/>
      <c r="AM630" s="38"/>
      <c r="AP630" s="38"/>
    </row>
    <row r="631" spans="9:42" x14ac:dyDescent="0.2">
      <c r="I631" s="38"/>
      <c r="L631" s="38"/>
      <c r="O631" s="38"/>
      <c r="R631" s="38"/>
      <c r="U631" s="38"/>
      <c r="X631" s="38"/>
      <c r="AA631" s="38"/>
      <c r="AD631" s="38"/>
      <c r="AG631" s="38"/>
      <c r="AJ631" s="38"/>
      <c r="AM631" s="38"/>
      <c r="AP631" s="38"/>
    </row>
    <row r="632" spans="9:42" x14ac:dyDescent="0.2">
      <c r="I632" s="38"/>
      <c r="L632" s="38"/>
      <c r="O632" s="38"/>
      <c r="R632" s="38"/>
      <c r="U632" s="38"/>
      <c r="X632" s="38"/>
      <c r="AA632" s="38"/>
      <c r="AD632" s="38"/>
      <c r="AG632" s="38"/>
      <c r="AJ632" s="38"/>
      <c r="AM632" s="38"/>
      <c r="AP632" s="38"/>
    </row>
    <row r="633" spans="9:42" x14ac:dyDescent="0.2">
      <c r="I633" s="38"/>
      <c r="L633" s="38"/>
      <c r="O633" s="38"/>
      <c r="R633" s="38"/>
      <c r="U633" s="38"/>
      <c r="X633" s="38"/>
      <c r="AA633" s="38"/>
      <c r="AD633" s="38"/>
      <c r="AG633" s="38"/>
      <c r="AJ633" s="38"/>
      <c r="AM633" s="38"/>
      <c r="AP633" s="38"/>
    </row>
    <row r="634" spans="9:42" x14ac:dyDescent="0.2">
      <c r="I634" s="38"/>
      <c r="L634" s="38"/>
      <c r="O634" s="38"/>
      <c r="R634" s="38"/>
      <c r="U634" s="38"/>
      <c r="X634" s="38"/>
      <c r="AA634" s="38"/>
      <c r="AD634" s="38"/>
      <c r="AG634" s="38"/>
      <c r="AJ634" s="38"/>
      <c r="AM634" s="38"/>
      <c r="AP634" s="38"/>
    </row>
    <row r="635" spans="9:42" x14ac:dyDescent="0.2">
      <c r="I635" s="38"/>
      <c r="L635" s="38"/>
      <c r="O635" s="38"/>
      <c r="R635" s="38"/>
      <c r="U635" s="38"/>
      <c r="X635" s="38"/>
      <c r="AA635" s="38"/>
      <c r="AD635" s="38"/>
      <c r="AG635" s="38"/>
      <c r="AJ635" s="38"/>
      <c r="AM635" s="38"/>
      <c r="AP635" s="38"/>
    </row>
    <row r="636" spans="9:42" x14ac:dyDescent="0.2">
      <c r="I636" s="38"/>
      <c r="L636" s="38"/>
      <c r="O636" s="38"/>
      <c r="R636" s="38"/>
      <c r="U636" s="38"/>
      <c r="X636" s="38"/>
      <c r="AA636" s="38"/>
      <c r="AD636" s="38"/>
      <c r="AG636" s="38"/>
      <c r="AJ636" s="38"/>
      <c r="AM636" s="38"/>
      <c r="AP636" s="38"/>
    </row>
    <row r="637" spans="9:42" x14ac:dyDescent="0.2">
      <c r="I637" s="38"/>
      <c r="L637" s="38"/>
      <c r="O637" s="38"/>
      <c r="R637" s="38"/>
      <c r="U637" s="38"/>
      <c r="X637" s="38"/>
      <c r="AA637" s="38"/>
      <c r="AD637" s="38"/>
      <c r="AG637" s="38"/>
      <c r="AJ637" s="38"/>
      <c r="AM637" s="38"/>
      <c r="AP637" s="38"/>
    </row>
    <row r="638" spans="9:42" x14ac:dyDescent="0.2">
      <c r="I638" s="38"/>
      <c r="L638" s="38"/>
      <c r="O638" s="38"/>
      <c r="R638" s="38"/>
      <c r="U638" s="38"/>
      <c r="X638" s="38"/>
      <c r="AA638" s="38"/>
      <c r="AD638" s="38"/>
      <c r="AG638" s="38"/>
      <c r="AJ638" s="38"/>
      <c r="AM638" s="38"/>
      <c r="AP638" s="38"/>
    </row>
    <row r="639" spans="9:42" x14ac:dyDescent="0.2">
      <c r="I639" s="38"/>
      <c r="L639" s="38"/>
      <c r="O639" s="38"/>
      <c r="R639" s="38"/>
      <c r="U639" s="38"/>
      <c r="X639" s="38"/>
      <c r="AA639" s="38"/>
      <c r="AD639" s="38"/>
      <c r="AG639" s="38"/>
      <c r="AJ639" s="38"/>
      <c r="AM639" s="38"/>
      <c r="AP639" s="38"/>
    </row>
    <row r="640" spans="9:42" x14ac:dyDescent="0.2">
      <c r="I640" s="38"/>
      <c r="L640" s="38"/>
      <c r="O640" s="38"/>
      <c r="R640" s="38"/>
      <c r="U640" s="38"/>
      <c r="X640" s="38"/>
      <c r="AA640" s="38"/>
      <c r="AD640" s="38"/>
      <c r="AG640" s="38"/>
      <c r="AJ640" s="38"/>
      <c r="AM640" s="38"/>
      <c r="AP640" s="38"/>
    </row>
    <row r="641" spans="9:42" x14ac:dyDescent="0.2">
      <c r="I641" s="38"/>
      <c r="L641" s="38"/>
      <c r="O641" s="38"/>
      <c r="R641" s="38"/>
      <c r="U641" s="38"/>
      <c r="X641" s="38"/>
      <c r="AA641" s="38"/>
      <c r="AD641" s="38"/>
      <c r="AG641" s="38"/>
      <c r="AJ641" s="38"/>
      <c r="AM641" s="38"/>
      <c r="AP641" s="38"/>
    </row>
    <row r="642" spans="9:42" x14ac:dyDescent="0.2">
      <c r="I642" s="38"/>
      <c r="L642" s="38"/>
      <c r="O642" s="38"/>
      <c r="R642" s="38"/>
      <c r="U642" s="38"/>
      <c r="X642" s="38"/>
      <c r="AA642" s="38"/>
      <c r="AD642" s="38"/>
      <c r="AG642" s="38"/>
      <c r="AJ642" s="38"/>
      <c r="AM642" s="38"/>
      <c r="AP642" s="38"/>
    </row>
    <row r="643" spans="9:42" x14ac:dyDescent="0.2">
      <c r="I643" s="38"/>
      <c r="L643" s="38"/>
      <c r="O643" s="38"/>
      <c r="R643" s="38"/>
      <c r="U643" s="38"/>
      <c r="X643" s="38"/>
      <c r="AA643" s="38"/>
      <c r="AD643" s="38"/>
      <c r="AG643" s="38"/>
      <c r="AJ643" s="38"/>
      <c r="AM643" s="38"/>
      <c r="AP643" s="38"/>
    </row>
    <row r="644" spans="9:42" x14ac:dyDescent="0.2">
      <c r="I644" s="38"/>
      <c r="L644" s="38"/>
      <c r="O644" s="38"/>
      <c r="R644" s="38"/>
      <c r="U644" s="38"/>
      <c r="X644" s="38"/>
      <c r="AA644" s="38"/>
      <c r="AD644" s="38"/>
      <c r="AG644" s="38"/>
      <c r="AJ644" s="38"/>
      <c r="AM644" s="38"/>
      <c r="AP644" s="38"/>
    </row>
    <row r="645" spans="9:42" x14ac:dyDescent="0.2">
      <c r="I645" s="38"/>
      <c r="L645" s="38"/>
      <c r="O645" s="38"/>
      <c r="R645" s="38"/>
      <c r="U645" s="38"/>
      <c r="X645" s="38"/>
      <c r="AA645" s="38"/>
      <c r="AD645" s="38"/>
      <c r="AG645" s="38"/>
      <c r="AJ645" s="38"/>
      <c r="AM645" s="38"/>
      <c r="AP645" s="38"/>
    </row>
    <row r="646" spans="9:42" x14ac:dyDescent="0.2">
      <c r="I646" s="38"/>
      <c r="L646" s="38"/>
      <c r="O646" s="38"/>
      <c r="R646" s="38"/>
      <c r="U646" s="38"/>
      <c r="X646" s="38"/>
      <c r="AA646" s="38"/>
      <c r="AD646" s="38"/>
      <c r="AG646" s="38"/>
      <c r="AJ646" s="38"/>
      <c r="AM646" s="38"/>
      <c r="AP646" s="38"/>
    </row>
    <row r="647" spans="9:42" x14ac:dyDescent="0.2">
      <c r="I647" s="38"/>
      <c r="L647" s="38"/>
      <c r="O647" s="38"/>
      <c r="R647" s="38"/>
      <c r="U647" s="38"/>
      <c r="X647" s="38"/>
      <c r="AA647" s="38"/>
      <c r="AD647" s="38"/>
      <c r="AG647" s="38"/>
      <c r="AJ647" s="38"/>
      <c r="AM647" s="38"/>
      <c r="AP647" s="38"/>
    </row>
    <row r="648" spans="9:42" x14ac:dyDescent="0.2">
      <c r="I648" s="38"/>
      <c r="L648" s="38"/>
      <c r="O648" s="38"/>
      <c r="R648" s="38"/>
      <c r="U648" s="38"/>
      <c r="X648" s="38"/>
      <c r="AA648" s="38"/>
      <c r="AD648" s="38"/>
      <c r="AG648" s="38"/>
      <c r="AJ648" s="38"/>
      <c r="AM648" s="38"/>
      <c r="AP648" s="38"/>
    </row>
    <row r="649" spans="9:42" x14ac:dyDescent="0.2">
      <c r="I649" s="38"/>
      <c r="L649" s="38"/>
      <c r="O649" s="38"/>
      <c r="R649" s="38"/>
      <c r="U649" s="38"/>
      <c r="X649" s="38"/>
      <c r="AA649" s="38"/>
      <c r="AD649" s="38"/>
      <c r="AG649" s="38"/>
      <c r="AJ649" s="38"/>
      <c r="AM649" s="38"/>
      <c r="AP649" s="38"/>
    </row>
    <row r="650" spans="9:42" x14ac:dyDescent="0.2">
      <c r="I650" s="38"/>
      <c r="L650" s="38"/>
      <c r="O650" s="38"/>
      <c r="R650" s="38"/>
      <c r="U650" s="38"/>
      <c r="X650" s="38"/>
      <c r="AA650" s="38"/>
      <c r="AD650" s="38"/>
      <c r="AG650" s="38"/>
      <c r="AJ650" s="38"/>
      <c r="AM650" s="38"/>
      <c r="AP650" s="38"/>
    </row>
    <row r="651" spans="9:42" x14ac:dyDescent="0.2">
      <c r="I651" s="38"/>
      <c r="L651" s="38"/>
      <c r="O651" s="38"/>
      <c r="R651" s="38"/>
      <c r="U651" s="38"/>
      <c r="X651" s="38"/>
      <c r="AA651" s="38"/>
      <c r="AD651" s="38"/>
      <c r="AG651" s="38"/>
      <c r="AJ651" s="38"/>
      <c r="AM651" s="38"/>
      <c r="AP651" s="38"/>
    </row>
    <row r="652" spans="9:42" x14ac:dyDescent="0.2">
      <c r="I652" s="38"/>
      <c r="L652" s="38"/>
      <c r="O652" s="38"/>
      <c r="R652" s="38"/>
      <c r="U652" s="38"/>
      <c r="X652" s="38"/>
      <c r="AA652" s="38"/>
      <c r="AD652" s="38"/>
      <c r="AG652" s="38"/>
      <c r="AJ652" s="38"/>
      <c r="AM652" s="38"/>
      <c r="AP652" s="38"/>
    </row>
    <row r="653" spans="9:42" x14ac:dyDescent="0.2">
      <c r="I653" s="38"/>
      <c r="L653" s="38"/>
      <c r="O653" s="38"/>
      <c r="R653" s="38"/>
      <c r="U653" s="38"/>
      <c r="X653" s="38"/>
      <c r="AA653" s="38"/>
      <c r="AD653" s="38"/>
      <c r="AG653" s="38"/>
      <c r="AJ653" s="38"/>
      <c r="AM653" s="38"/>
      <c r="AP653" s="38"/>
    </row>
    <row r="654" spans="9:42" x14ac:dyDescent="0.2">
      <c r="I654" s="38"/>
      <c r="L654" s="38"/>
      <c r="O654" s="38"/>
      <c r="R654" s="38"/>
      <c r="U654" s="38"/>
      <c r="X654" s="38"/>
      <c r="AA654" s="38"/>
      <c r="AD654" s="38"/>
      <c r="AG654" s="38"/>
      <c r="AJ654" s="38"/>
      <c r="AM654" s="38"/>
      <c r="AP654" s="38"/>
    </row>
    <row r="655" spans="9:42" x14ac:dyDescent="0.2">
      <c r="I655" s="38"/>
      <c r="L655" s="38"/>
      <c r="O655" s="38"/>
      <c r="R655" s="38"/>
      <c r="U655" s="38"/>
      <c r="X655" s="38"/>
      <c r="AA655" s="38"/>
      <c r="AD655" s="38"/>
      <c r="AG655" s="38"/>
      <c r="AJ655" s="38"/>
      <c r="AM655" s="38"/>
      <c r="AP655" s="38"/>
    </row>
    <row r="656" spans="9:42" x14ac:dyDescent="0.2">
      <c r="I656" s="38"/>
      <c r="L656" s="38"/>
      <c r="O656" s="38"/>
      <c r="R656" s="38"/>
      <c r="U656" s="38"/>
      <c r="X656" s="38"/>
      <c r="AA656" s="38"/>
      <c r="AD656" s="38"/>
      <c r="AG656" s="38"/>
      <c r="AJ656" s="38"/>
      <c r="AM656" s="38"/>
      <c r="AP656" s="38"/>
    </row>
    <row r="657" spans="9:42" x14ac:dyDescent="0.2">
      <c r="I657" s="38"/>
      <c r="L657" s="38"/>
      <c r="O657" s="38"/>
      <c r="R657" s="38"/>
      <c r="U657" s="38"/>
      <c r="X657" s="38"/>
      <c r="AA657" s="38"/>
      <c r="AD657" s="38"/>
      <c r="AG657" s="38"/>
      <c r="AJ657" s="38"/>
      <c r="AM657" s="38"/>
      <c r="AP657" s="38"/>
    </row>
    <row r="658" spans="9:42" x14ac:dyDescent="0.2">
      <c r="I658" s="38"/>
      <c r="L658" s="38"/>
      <c r="O658" s="38"/>
      <c r="R658" s="38"/>
      <c r="U658" s="38"/>
      <c r="X658" s="38"/>
      <c r="AA658" s="38"/>
      <c r="AD658" s="38"/>
      <c r="AG658" s="38"/>
      <c r="AJ658" s="38"/>
      <c r="AM658" s="38"/>
      <c r="AP658" s="38"/>
    </row>
    <row r="659" spans="9:42" x14ac:dyDescent="0.2">
      <c r="I659" s="38"/>
      <c r="L659" s="38"/>
      <c r="O659" s="38"/>
      <c r="R659" s="38"/>
      <c r="U659" s="38"/>
      <c r="X659" s="38"/>
      <c r="AA659" s="38"/>
      <c r="AD659" s="38"/>
      <c r="AG659" s="38"/>
      <c r="AJ659" s="38"/>
      <c r="AM659" s="38"/>
      <c r="AP659" s="38"/>
    </row>
    <row r="660" spans="9:42" x14ac:dyDescent="0.2">
      <c r="I660" s="38"/>
      <c r="L660" s="38"/>
      <c r="O660" s="38"/>
      <c r="R660" s="38"/>
      <c r="U660" s="38"/>
      <c r="X660" s="38"/>
      <c r="AA660" s="38"/>
      <c r="AD660" s="38"/>
      <c r="AG660" s="38"/>
      <c r="AJ660" s="38"/>
      <c r="AM660" s="38"/>
      <c r="AP660" s="38"/>
    </row>
    <row r="661" spans="9:42" x14ac:dyDescent="0.2">
      <c r="I661" s="38"/>
      <c r="L661" s="38"/>
      <c r="O661" s="38"/>
      <c r="R661" s="38"/>
      <c r="U661" s="38"/>
      <c r="X661" s="38"/>
      <c r="AA661" s="38"/>
      <c r="AD661" s="38"/>
      <c r="AG661" s="38"/>
      <c r="AJ661" s="38"/>
      <c r="AM661" s="38"/>
      <c r="AP661" s="38"/>
    </row>
    <row r="662" spans="9:42" x14ac:dyDescent="0.2">
      <c r="I662" s="38"/>
      <c r="L662" s="38"/>
      <c r="O662" s="38"/>
      <c r="R662" s="38"/>
      <c r="U662" s="38"/>
      <c r="X662" s="38"/>
      <c r="AA662" s="38"/>
      <c r="AD662" s="38"/>
      <c r="AG662" s="38"/>
      <c r="AJ662" s="38"/>
      <c r="AM662" s="38"/>
      <c r="AP662" s="38"/>
    </row>
    <row r="663" spans="9:42" x14ac:dyDescent="0.2">
      <c r="I663" s="38"/>
      <c r="L663" s="38"/>
      <c r="O663" s="38"/>
      <c r="R663" s="38"/>
      <c r="U663" s="38"/>
      <c r="X663" s="38"/>
      <c r="AA663" s="38"/>
      <c r="AD663" s="38"/>
      <c r="AG663" s="38"/>
      <c r="AJ663" s="38"/>
      <c r="AM663" s="38"/>
      <c r="AP663" s="38"/>
    </row>
    <row r="664" spans="9:42" x14ac:dyDescent="0.2">
      <c r="I664" s="38"/>
      <c r="L664" s="38"/>
      <c r="O664" s="38"/>
      <c r="R664" s="38"/>
      <c r="U664" s="38"/>
      <c r="X664" s="38"/>
      <c r="AA664" s="38"/>
      <c r="AD664" s="38"/>
      <c r="AG664" s="38"/>
      <c r="AJ664" s="38"/>
      <c r="AM664" s="38"/>
      <c r="AP664" s="38"/>
    </row>
    <row r="665" spans="9:42" x14ac:dyDescent="0.2">
      <c r="I665" s="38"/>
      <c r="L665" s="38"/>
      <c r="O665" s="38"/>
      <c r="R665" s="38"/>
      <c r="U665" s="38"/>
      <c r="X665" s="38"/>
      <c r="AA665" s="38"/>
      <c r="AD665" s="38"/>
      <c r="AG665" s="38"/>
      <c r="AJ665" s="38"/>
      <c r="AM665" s="38"/>
      <c r="AP665" s="38"/>
    </row>
    <row r="666" spans="9:42" x14ac:dyDescent="0.2">
      <c r="I666" s="38"/>
      <c r="L666" s="38"/>
      <c r="O666" s="38"/>
      <c r="R666" s="38"/>
      <c r="U666" s="38"/>
      <c r="X666" s="38"/>
      <c r="AA666" s="38"/>
      <c r="AD666" s="38"/>
      <c r="AG666" s="38"/>
      <c r="AJ666" s="38"/>
      <c r="AM666" s="38"/>
      <c r="AP666" s="38"/>
    </row>
    <row r="667" spans="9:42" x14ac:dyDescent="0.2">
      <c r="I667" s="38"/>
      <c r="L667" s="38"/>
      <c r="O667" s="38"/>
      <c r="R667" s="38"/>
      <c r="U667" s="38"/>
      <c r="X667" s="38"/>
      <c r="AA667" s="38"/>
      <c r="AD667" s="38"/>
      <c r="AG667" s="38"/>
      <c r="AJ667" s="38"/>
      <c r="AM667" s="38"/>
      <c r="AP667" s="38"/>
    </row>
    <row r="668" spans="9:42" x14ac:dyDescent="0.2">
      <c r="I668" s="38"/>
      <c r="L668" s="38"/>
      <c r="O668" s="38"/>
      <c r="R668" s="38"/>
      <c r="U668" s="38"/>
      <c r="X668" s="38"/>
      <c r="AA668" s="38"/>
      <c r="AD668" s="38"/>
      <c r="AG668" s="38"/>
      <c r="AJ668" s="38"/>
      <c r="AM668" s="38"/>
      <c r="AP668" s="38"/>
    </row>
    <row r="669" spans="9:42" x14ac:dyDescent="0.2">
      <c r="I669" s="38"/>
      <c r="L669" s="38"/>
      <c r="O669" s="38"/>
      <c r="R669" s="38"/>
      <c r="U669" s="38"/>
      <c r="X669" s="38"/>
      <c r="AA669" s="38"/>
      <c r="AD669" s="38"/>
      <c r="AG669" s="38"/>
      <c r="AJ669" s="38"/>
      <c r="AM669" s="38"/>
      <c r="AP669" s="38"/>
    </row>
    <row r="670" spans="9:42" x14ac:dyDescent="0.2">
      <c r="I670" s="38"/>
      <c r="L670" s="38"/>
      <c r="O670" s="38"/>
      <c r="R670" s="38"/>
      <c r="U670" s="38"/>
      <c r="X670" s="38"/>
      <c r="AA670" s="38"/>
      <c r="AD670" s="38"/>
      <c r="AG670" s="38"/>
      <c r="AJ670" s="38"/>
      <c r="AM670" s="38"/>
      <c r="AP670" s="38"/>
    </row>
    <row r="671" spans="9:42" x14ac:dyDescent="0.2">
      <c r="I671" s="38"/>
      <c r="L671" s="38"/>
      <c r="O671" s="38"/>
      <c r="R671" s="38"/>
      <c r="U671" s="38"/>
      <c r="X671" s="38"/>
      <c r="AA671" s="38"/>
      <c r="AD671" s="38"/>
      <c r="AG671" s="38"/>
      <c r="AJ671" s="38"/>
      <c r="AM671" s="38"/>
      <c r="AP671" s="38"/>
    </row>
    <row r="672" spans="9:42" x14ac:dyDescent="0.2">
      <c r="I672" s="38"/>
      <c r="L672" s="38"/>
      <c r="O672" s="38"/>
      <c r="R672" s="38"/>
      <c r="U672" s="38"/>
      <c r="X672" s="38"/>
      <c r="AA672" s="38"/>
      <c r="AD672" s="38"/>
      <c r="AG672" s="38"/>
      <c r="AJ672" s="38"/>
      <c r="AM672" s="38"/>
      <c r="AP672" s="38"/>
    </row>
    <row r="673" spans="9:42" x14ac:dyDescent="0.2">
      <c r="I673" s="38"/>
      <c r="L673" s="38"/>
      <c r="O673" s="38"/>
      <c r="R673" s="38"/>
      <c r="U673" s="38"/>
      <c r="X673" s="38"/>
      <c r="AA673" s="38"/>
      <c r="AD673" s="38"/>
      <c r="AG673" s="38"/>
      <c r="AJ673" s="38"/>
      <c r="AM673" s="38"/>
      <c r="AP673" s="38"/>
    </row>
    <row r="674" spans="9:42" x14ac:dyDescent="0.2">
      <c r="I674" s="38"/>
      <c r="L674" s="38"/>
      <c r="O674" s="38"/>
      <c r="R674" s="38"/>
      <c r="U674" s="38"/>
      <c r="X674" s="38"/>
      <c r="AA674" s="38"/>
      <c r="AD674" s="38"/>
      <c r="AG674" s="38"/>
      <c r="AJ674" s="38"/>
      <c r="AM674" s="38"/>
      <c r="AP674" s="38"/>
    </row>
    <row r="675" spans="9:42" x14ac:dyDescent="0.2">
      <c r="I675" s="38"/>
      <c r="L675" s="38"/>
      <c r="O675" s="38"/>
      <c r="R675" s="38"/>
      <c r="U675" s="38"/>
      <c r="X675" s="38"/>
      <c r="AA675" s="38"/>
      <c r="AD675" s="38"/>
      <c r="AG675" s="38"/>
      <c r="AJ675" s="38"/>
      <c r="AM675" s="38"/>
      <c r="AP675" s="38"/>
    </row>
    <row r="676" spans="9:42" x14ac:dyDescent="0.2">
      <c r="I676" s="38"/>
      <c r="L676" s="38"/>
      <c r="O676" s="38"/>
      <c r="R676" s="38"/>
      <c r="U676" s="38"/>
      <c r="X676" s="38"/>
      <c r="AA676" s="38"/>
      <c r="AD676" s="38"/>
      <c r="AG676" s="38"/>
      <c r="AJ676" s="38"/>
      <c r="AM676" s="38"/>
      <c r="AP676" s="38"/>
    </row>
    <row r="677" spans="9:42" x14ac:dyDescent="0.2">
      <c r="I677" s="38"/>
      <c r="L677" s="38"/>
      <c r="O677" s="38"/>
      <c r="R677" s="38"/>
      <c r="U677" s="38"/>
      <c r="X677" s="38"/>
      <c r="AA677" s="38"/>
      <c r="AD677" s="38"/>
      <c r="AG677" s="38"/>
      <c r="AJ677" s="38"/>
      <c r="AM677" s="38"/>
      <c r="AP677" s="38"/>
    </row>
    <row r="678" spans="9:42" x14ac:dyDescent="0.2">
      <c r="I678" s="38"/>
      <c r="L678" s="38"/>
      <c r="O678" s="38"/>
      <c r="R678" s="38"/>
      <c r="U678" s="38"/>
      <c r="X678" s="38"/>
      <c r="AA678" s="38"/>
      <c r="AD678" s="38"/>
      <c r="AG678" s="38"/>
      <c r="AJ678" s="38"/>
      <c r="AM678" s="38"/>
      <c r="AP678" s="38"/>
    </row>
    <row r="679" spans="9:42" x14ac:dyDescent="0.2">
      <c r="I679" s="38"/>
      <c r="L679" s="38"/>
      <c r="O679" s="38"/>
      <c r="R679" s="38"/>
      <c r="U679" s="38"/>
      <c r="X679" s="38"/>
      <c r="AA679" s="38"/>
      <c r="AD679" s="38"/>
      <c r="AG679" s="38"/>
      <c r="AJ679" s="38"/>
      <c r="AM679" s="38"/>
      <c r="AP679" s="38"/>
    </row>
    <row r="680" spans="9:42" x14ac:dyDescent="0.2">
      <c r="I680" s="38"/>
      <c r="L680" s="38"/>
      <c r="O680" s="38"/>
      <c r="R680" s="38"/>
      <c r="U680" s="38"/>
      <c r="X680" s="38"/>
      <c r="AA680" s="38"/>
      <c r="AD680" s="38"/>
      <c r="AG680" s="38"/>
      <c r="AJ680" s="38"/>
      <c r="AM680" s="38"/>
      <c r="AP680" s="38"/>
    </row>
    <row r="681" spans="9:42" x14ac:dyDescent="0.2">
      <c r="I681" s="38"/>
      <c r="L681" s="38"/>
      <c r="O681" s="38"/>
      <c r="R681" s="38"/>
      <c r="U681" s="38"/>
      <c r="X681" s="38"/>
      <c r="AA681" s="38"/>
      <c r="AD681" s="38"/>
      <c r="AG681" s="38"/>
      <c r="AJ681" s="38"/>
      <c r="AM681" s="38"/>
      <c r="AP681" s="38"/>
    </row>
    <row r="682" spans="9:42" x14ac:dyDescent="0.2">
      <c r="I682" s="38"/>
      <c r="L682" s="38"/>
      <c r="O682" s="38"/>
      <c r="R682" s="38"/>
      <c r="U682" s="38"/>
      <c r="X682" s="38"/>
      <c r="AA682" s="38"/>
      <c r="AD682" s="38"/>
      <c r="AG682" s="38"/>
      <c r="AJ682" s="38"/>
      <c r="AM682" s="38"/>
      <c r="AP682" s="38"/>
    </row>
    <row r="683" spans="9:42" x14ac:dyDescent="0.2">
      <c r="I683" s="38"/>
      <c r="L683" s="38"/>
      <c r="O683" s="38"/>
      <c r="R683" s="38"/>
      <c r="U683" s="38"/>
      <c r="X683" s="38"/>
      <c r="AA683" s="38"/>
      <c r="AD683" s="38"/>
      <c r="AG683" s="38"/>
      <c r="AJ683" s="38"/>
      <c r="AM683" s="38"/>
      <c r="AP683" s="38"/>
    </row>
    <row r="684" spans="9:42" x14ac:dyDescent="0.2">
      <c r="I684" s="38"/>
      <c r="L684" s="38"/>
      <c r="O684" s="38"/>
      <c r="R684" s="38"/>
      <c r="U684" s="38"/>
      <c r="X684" s="38"/>
      <c r="AA684" s="38"/>
      <c r="AD684" s="38"/>
      <c r="AG684" s="38"/>
      <c r="AJ684" s="38"/>
      <c r="AM684" s="38"/>
      <c r="AP684" s="38"/>
    </row>
    <row r="685" spans="9:42" x14ac:dyDescent="0.2">
      <c r="I685" s="38"/>
      <c r="L685" s="38"/>
      <c r="O685" s="38"/>
      <c r="R685" s="38"/>
      <c r="U685" s="38"/>
      <c r="X685" s="38"/>
      <c r="AA685" s="38"/>
      <c r="AD685" s="38"/>
      <c r="AG685" s="38"/>
      <c r="AJ685" s="38"/>
      <c r="AM685" s="38"/>
      <c r="AP685" s="38"/>
    </row>
    <row r="686" spans="9:42" x14ac:dyDescent="0.2">
      <c r="I686" s="38"/>
      <c r="L686" s="38"/>
      <c r="O686" s="38"/>
      <c r="R686" s="38"/>
      <c r="U686" s="38"/>
      <c r="X686" s="38"/>
      <c r="AA686" s="38"/>
      <c r="AD686" s="38"/>
      <c r="AG686" s="38"/>
      <c r="AJ686" s="38"/>
      <c r="AM686" s="38"/>
      <c r="AP686" s="38"/>
    </row>
    <row r="687" spans="9:42" x14ac:dyDescent="0.2">
      <c r="I687" s="38"/>
      <c r="L687" s="38"/>
      <c r="O687" s="38"/>
      <c r="R687" s="38"/>
      <c r="U687" s="38"/>
      <c r="X687" s="38"/>
      <c r="AA687" s="38"/>
      <c r="AD687" s="38"/>
      <c r="AG687" s="38"/>
      <c r="AJ687" s="38"/>
      <c r="AM687" s="38"/>
      <c r="AP687" s="38"/>
    </row>
    <row r="688" spans="9:42" x14ac:dyDescent="0.2">
      <c r="I688" s="38"/>
      <c r="L688" s="38"/>
      <c r="O688" s="38"/>
      <c r="R688" s="38"/>
      <c r="U688" s="38"/>
      <c r="X688" s="38"/>
      <c r="AA688" s="38"/>
      <c r="AD688" s="38"/>
      <c r="AG688" s="38"/>
      <c r="AJ688" s="38"/>
      <c r="AM688" s="38"/>
      <c r="AP688" s="38"/>
    </row>
    <row r="689" spans="9:42" x14ac:dyDescent="0.2">
      <c r="I689" s="38"/>
      <c r="L689" s="38"/>
      <c r="O689" s="38"/>
      <c r="R689" s="38"/>
      <c r="U689" s="38"/>
      <c r="X689" s="38"/>
      <c r="AA689" s="38"/>
      <c r="AD689" s="38"/>
      <c r="AG689" s="38"/>
      <c r="AJ689" s="38"/>
      <c r="AM689" s="38"/>
      <c r="AP689" s="38"/>
    </row>
    <row r="690" spans="9:42" x14ac:dyDescent="0.2">
      <c r="I690" s="38"/>
      <c r="L690" s="38"/>
      <c r="O690" s="38"/>
      <c r="R690" s="38"/>
      <c r="U690" s="38"/>
      <c r="X690" s="38"/>
      <c r="AA690" s="38"/>
      <c r="AD690" s="38"/>
      <c r="AG690" s="38"/>
      <c r="AJ690" s="38"/>
      <c r="AM690" s="38"/>
      <c r="AP690" s="38"/>
    </row>
    <row r="691" spans="9:42" x14ac:dyDescent="0.2">
      <c r="I691" s="38"/>
      <c r="L691" s="38"/>
      <c r="O691" s="38"/>
      <c r="R691" s="38"/>
      <c r="U691" s="38"/>
      <c r="X691" s="38"/>
      <c r="AA691" s="38"/>
      <c r="AD691" s="38"/>
      <c r="AG691" s="38"/>
      <c r="AJ691" s="38"/>
      <c r="AM691" s="38"/>
      <c r="AP691" s="38"/>
    </row>
    <row r="692" spans="9:42" x14ac:dyDescent="0.2">
      <c r="I692" s="38"/>
      <c r="L692" s="38"/>
      <c r="O692" s="38"/>
      <c r="R692" s="38"/>
      <c r="U692" s="38"/>
      <c r="X692" s="38"/>
      <c r="AA692" s="38"/>
      <c r="AD692" s="38"/>
      <c r="AG692" s="38"/>
      <c r="AJ692" s="38"/>
      <c r="AM692" s="38"/>
      <c r="AP692" s="38"/>
    </row>
    <row r="693" spans="9:42" x14ac:dyDescent="0.2">
      <c r="I693" s="38"/>
      <c r="L693" s="38"/>
      <c r="O693" s="38"/>
      <c r="R693" s="38"/>
      <c r="U693" s="38"/>
      <c r="X693" s="38"/>
      <c r="AA693" s="38"/>
      <c r="AD693" s="38"/>
      <c r="AG693" s="38"/>
      <c r="AJ693" s="38"/>
      <c r="AM693" s="38"/>
      <c r="AP693" s="38"/>
    </row>
    <row r="694" spans="9:42" x14ac:dyDescent="0.2">
      <c r="I694" s="38"/>
      <c r="L694" s="38"/>
      <c r="O694" s="38"/>
      <c r="R694" s="38"/>
      <c r="U694" s="38"/>
      <c r="X694" s="38"/>
      <c r="AA694" s="38"/>
      <c r="AD694" s="38"/>
      <c r="AG694" s="38"/>
      <c r="AJ694" s="38"/>
      <c r="AM694" s="38"/>
      <c r="AP694" s="38"/>
    </row>
    <row r="695" spans="9:42" x14ac:dyDescent="0.2">
      <c r="I695" s="38"/>
      <c r="L695" s="38"/>
      <c r="O695" s="38"/>
      <c r="R695" s="38"/>
      <c r="U695" s="38"/>
      <c r="X695" s="38"/>
      <c r="AA695" s="38"/>
      <c r="AD695" s="38"/>
      <c r="AG695" s="38"/>
      <c r="AJ695" s="38"/>
      <c r="AM695" s="38"/>
      <c r="AP695" s="38"/>
    </row>
    <row r="696" spans="9:42" x14ac:dyDescent="0.2">
      <c r="I696" s="38"/>
      <c r="L696" s="38"/>
      <c r="O696" s="38"/>
      <c r="R696" s="38"/>
      <c r="U696" s="38"/>
      <c r="X696" s="38"/>
      <c r="AA696" s="38"/>
      <c r="AD696" s="38"/>
      <c r="AG696" s="38"/>
      <c r="AJ696" s="38"/>
      <c r="AM696" s="38"/>
      <c r="AP696" s="38"/>
    </row>
    <row r="697" spans="9:42" x14ac:dyDescent="0.2">
      <c r="I697" s="38"/>
      <c r="L697" s="38"/>
      <c r="O697" s="38"/>
      <c r="R697" s="38"/>
      <c r="U697" s="38"/>
      <c r="X697" s="38"/>
      <c r="AA697" s="38"/>
      <c r="AD697" s="38"/>
      <c r="AG697" s="38"/>
      <c r="AJ697" s="38"/>
      <c r="AM697" s="38"/>
      <c r="AP697" s="38"/>
    </row>
    <row r="698" spans="9:42" x14ac:dyDescent="0.2">
      <c r="I698" s="38"/>
      <c r="L698" s="38"/>
      <c r="O698" s="38"/>
      <c r="R698" s="38"/>
      <c r="U698" s="38"/>
      <c r="X698" s="38"/>
      <c r="AA698" s="38"/>
      <c r="AD698" s="38"/>
      <c r="AG698" s="38"/>
      <c r="AJ698" s="38"/>
      <c r="AM698" s="38"/>
      <c r="AP698" s="38"/>
    </row>
    <row r="699" spans="9:42" x14ac:dyDescent="0.2">
      <c r="I699" s="38"/>
      <c r="L699" s="38"/>
      <c r="O699" s="38"/>
      <c r="R699" s="38"/>
      <c r="U699" s="38"/>
      <c r="X699" s="38"/>
      <c r="AA699" s="38"/>
      <c r="AD699" s="38"/>
      <c r="AG699" s="38"/>
      <c r="AJ699" s="38"/>
      <c r="AM699" s="38"/>
      <c r="AP699" s="38"/>
    </row>
    <row r="700" spans="9:42" x14ac:dyDescent="0.2">
      <c r="I700" s="38"/>
      <c r="L700" s="38"/>
      <c r="O700" s="38"/>
      <c r="R700" s="38"/>
      <c r="U700" s="38"/>
      <c r="X700" s="38"/>
      <c r="AA700" s="38"/>
      <c r="AD700" s="38"/>
      <c r="AG700" s="38"/>
      <c r="AJ700" s="38"/>
      <c r="AM700" s="38"/>
      <c r="AP700" s="38"/>
    </row>
    <row r="701" spans="9:42" x14ac:dyDescent="0.2">
      <c r="I701" s="38"/>
      <c r="L701" s="38"/>
      <c r="O701" s="38"/>
      <c r="R701" s="38"/>
      <c r="U701" s="38"/>
      <c r="X701" s="38"/>
      <c r="AA701" s="38"/>
      <c r="AD701" s="38"/>
      <c r="AG701" s="38"/>
      <c r="AJ701" s="38"/>
      <c r="AM701" s="38"/>
      <c r="AP701" s="38"/>
    </row>
    <row r="702" spans="9:42" x14ac:dyDescent="0.2">
      <c r="I702" s="38"/>
      <c r="L702" s="38"/>
      <c r="O702" s="38"/>
      <c r="R702" s="38"/>
      <c r="U702" s="38"/>
      <c r="X702" s="38"/>
      <c r="AA702" s="38"/>
      <c r="AD702" s="38"/>
      <c r="AG702" s="38"/>
      <c r="AJ702" s="38"/>
      <c r="AM702" s="38"/>
      <c r="AP702" s="38"/>
    </row>
    <row r="703" spans="9:42" x14ac:dyDescent="0.2">
      <c r="I703" s="38"/>
      <c r="L703" s="38"/>
      <c r="O703" s="38"/>
      <c r="R703" s="38"/>
      <c r="U703" s="38"/>
      <c r="X703" s="38"/>
      <c r="AA703" s="38"/>
      <c r="AD703" s="38"/>
      <c r="AG703" s="38"/>
      <c r="AJ703" s="38"/>
      <c r="AM703" s="38"/>
      <c r="AP703" s="38"/>
    </row>
    <row r="704" spans="9:42" x14ac:dyDescent="0.2">
      <c r="I704" s="38"/>
      <c r="L704" s="38"/>
      <c r="O704" s="38"/>
      <c r="R704" s="38"/>
      <c r="U704" s="38"/>
      <c r="X704" s="38"/>
      <c r="AA704" s="38"/>
      <c r="AD704" s="38"/>
      <c r="AG704" s="38"/>
      <c r="AJ704" s="38"/>
      <c r="AM704" s="38"/>
      <c r="AP704" s="38"/>
    </row>
    <row r="705" spans="9:42" x14ac:dyDescent="0.2">
      <c r="I705" s="38"/>
      <c r="L705" s="38"/>
      <c r="O705" s="38"/>
      <c r="R705" s="38"/>
      <c r="U705" s="38"/>
      <c r="X705" s="38"/>
      <c r="AA705" s="38"/>
      <c r="AD705" s="38"/>
      <c r="AG705" s="38"/>
      <c r="AJ705" s="38"/>
      <c r="AM705" s="38"/>
      <c r="AP705" s="38"/>
    </row>
    <row r="706" spans="9:42" x14ac:dyDescent="0.2">
      <c r="I706" s="38"/>
      <c r="L706" s="38"/>
      <c r="O706" s="38"/>
      <c r="R706" s="38"/>
      <c r="U706" s="38"/>
      <c r="X706" s="38"/>
      <c r="AA706" s="38"/>
      <c r="AD706" s="38"/>
      <c r="AG706" s="38"/>
      <c r="AJ706" s="38"/>
      <c r="AM706" s="38"/>
      <c r="AP706" s="38"/>
    </row>
    <row r="707" spans="9:42" x14ac:dyDescent="0.2">
      <c r="I707" s="38"/>
      <c r="L707" s="38"/>
      <c r="O707" s="38"/>
      <c r="R707" s="38"/>
      <c r="U707" s="38"/>
      <c r="X707" s="38"/>
      <c r="AA707" s="38"/>
      <c r="AD707" s="38"/>
      <c r="AG707" s="38"/>
      <c r="AJ707" s="38"/>
      <c r="AM707" s="38"/>
      <c r="AP707" s="38"/>
    </row>
    <row r="708" spans="9:42" x14ac:dyDescent="0.2">
      <c r="I708" s="38"/>
      <c r="L708" s="38"/>
      <c r="O708" s="38"/>
      <c r="R708" s="38"/>
      <c r="U708" s="38"/>
      <c r="X708" s="38"/>
      <c r="AA708" s="38"/>
      <c r="AD708" s="38"/>
      <c r="AG708" s="38"/>
      <c r="AJ708" s="38"/>
      <c r="AM708" s="38"/>
      <c r="AP708" s="38"/>
    </row>
    <row r="709" spans="9:42" x14ac:dyDescent="0.2">
      <c r="I709" s="38"/>
      <c r="L709" s="38"/>
      <c r="O709" s="38"/>
      <c r="R709" s="38"/>
      <c r="U709" s="38"/>
      <c r="X709" s="38"/>
      <c r="AA709" s="38"/>
      <c r="AD709" s="38"/>
      <c r="AG709" s="38"/>
      <c r="AJ709" s="38"/>
      <c r="AM709" s="38"/>
      <c r="AP709" s="38"/>
    </row>
    <row r="710" spans="9:42" x14ac:dyDescent="0.2">
      <c r="I710" s="38"/>
      <c r="L710" s="38"/>
      <c r="O710" s="38"/>
      <c r="R710" s="38"/>
      <c r="U710" s="38"/>
      <c r="X710" s="38"/>
      <c r="AA710" s="38"/>
      <c r="AD710" s="38"/>
      <c r="AG710" s="38"/>
      <c r="AJ710" s="38"/>
      <c r="AM710" s="38"/>
      <c r="AP710" s="38"/>
    </row>
    <row r="711" spans="9:42" x14ac:dyDescent="0.2">
      <c r="I711" s="38"/>
      <c r="L711" s="38"/>
      <c r="O711" s="38"/>
      <c r="R711" s="38"/>
      <c r="U711" s="38"/>
      <c r="X711" s="38"/>
      <c r="AA711" s="38"/>
      <c r="AD711" s="38"/>
      <c r="AG711" s="38"/>
      <c r="AJ711" s="38"/>
      <c r="AM711" s="38"/>
      <c r="AP711" s="38"/>
    </row>
    <row r="712" spans="9:42" x14ac:dyDescent="0.2">
      <c r="I712" s="38"/>
      <c r="L712" s="38"/>
      <c r="O712" s="38"/>
      <c r="R712" s="38"/>
      <c r="U712" s="38"/>
      <c r="X712" s="38"/>
      <c r="AA712" s="38"/>
      <c r="AD712" s="38"/>
      <c r="AG712" s="38"/>
      <c r="AJ712" s="38"/>
      <c r="AM712" s="38"/>
      <c r="AP712" s="38"/>
    </row>
    <row r="713" spans="9:42" x14ac:dyDescent="0.2">
      <c r="I713" s="38"/>
      <c r="L713" s="38"/>
      <c r="O713" s="38"/>
      <c r="R713" s="38"/>
      <c r="U713" s="38"/>
      <c r="X713" s="38"/>
      <c r="AA713" s="38"/>
      <c r="AD713" s="38"/>
      <c r="AG713" s="38"/>
      <c r="AJ713" s="38"/>
      <c r="AM713" s="38"/>
      <c r="AP713" s="38"/>
    </row>
    <row r="714" spans="9:42" x14ac:dyDescent="0.2">
      <c r="I714" s="38"/>
      <c r="L714" s="38"/>
      <c r="O714" s="38"/>
      <c r="R714" s="38"/>
      <c r="U714" s="38"/>
      <c r="X714" s="38"/>
      <c r="AA714" s="38"/>
      <c r="AD714" s="38"/>
      <c r="AG714" s="38"/>
      <c r="AJ714" s="38"/>
      <c r="AM714" s="38"/>
      <c r="AP714" s="38"/>
    </row>
    <row r="715" spans="9:42" x14ac:dyDescent="0.2">
      <c r="I715" s="38"/>
      <c r="L715" s="38"/>
      <c r="O715" s="38"/>
      <c r="R715" s="38"/>
      <c r="U715" s="38"/>
      <c r="X715" s="38"/>
      <c r="AA715" s="38"/>
      <c r="AD715" s="38"/>
      <c r="AG715" s="38"/>
      <c r="AJ715" s="38"/>
      <c r="AM715" s="38"/>
      <c r="AP715" s="38"/>
    </row>
    <row r="716" spans="9:42" x14ac:dyDescent="0.2">
      <c r="I716" s="38"/>
      <c r="L716" s="38"/>
      <c r="O716" s="38"/>
      <c r="R716" s="38"/>
      <c r="U716" s="38"/>
      <c r="X716" s="38"/>
      <c r="AA716" s="38"/>
      <c r="AD716" s="38"/>
      <c r="AG716" s="38"/>
      <c r="AJ716" s="38"/>
      <c r="AM716" s="38"/>
      <c r="AP716" s="38"/>
    </row>
    <row r="717" spans="9:42" x14ac:dyDescent="0.2">
      <c r="I717" s="38"/>
      <c r="L717" s="38"/>
      <c r="O717" s="38"/>
      <c r="R717" s="38"/>
      <c r="U717" s="38"/>
      <c r="X717" s="38"/>
      <c r="AA717" s="38"/>
      <c r="AD717" s="38"/>
      <c r="AG717" s="38"/>
      <c r="AJ717" s="38"/>
      <c r="AM717" s="38"/>
      <c r="AP717" s="38"/>
    </row>
    <row r="718" spans="9:42" x14ac:dyDescent="0.2">
      <c r="I718" s="38"/>
      <c r="L718" s="38"/>
      <c r="O718" s="38"/>
      <c r="R718" s="38"/>
      <c r="U718" s="38"/>
      <c r="X718" s="38"/>
      <c r="AA718" s="38"/>
      <c r="AD718" s="38"/>
      <c r="AG718" s="38"/>
      <c r="AJ718" s="38"/>
      <c r="AM718" s="38"/>
      <c r="AP718" s="38"/>
    </row>
    <row r="719" spans="9:42" x14ac:dyDescent="0.2">
      <c r="I719" s="38"/>
      <c r="L719" s="38"/>
      <c r="O719" s="38"/>
      <c r="R719" s="38"/>
      <c r="U719" s="38"/>
      <c r="X719" s="38"/>
      <c r="AA719" s="38"/>
      <c r="AD719" s="38"/>
      <c r="AG719" s="38"/>
      <c r="AJ719" s="38"/>
      <c r="AM719" s="38"/>
      <c r="AP719" s="38"/>
    </row>
    <row r="720" spans="9:42" x14ac:dyDescent="0.2">
      <c r="I720" s="38"/>
      <c r="L720" s="38"/>
      <c r="O720" s="38"/>
      <c r="R720" s="38"/>
      <c r="U720" s="38"/>
      <c r="X720" s="38"/>
      <c r="AA720" s="38"/>
      <c r="AD720" s="38"/>
      <c r="AG720" s="38"/>
      <c r="AJ720" s="38"/>
      <c r="AM720" s="38"/>
      <c r="AP720" s="38"/>
    </row>
    <row r="721" spans="9:42" x14ac:dyDescent="0.2">
      <c r="I721" s="38"/>
      <c r="L721" s="38"/>
      <c r="O721" s="38"/>
      <c r="R721" s="38"/>
      <c r="U721" s="38"/>
      <c r="X721" s="38"/>
      <c r="AA721" s="38"/>
      <c r="AD721" s="38"/>
      <c r="AG721" s="38"/>
      <c r="AJ721" s="38"/>
      <c r="AM721" s="38"/>
      <c r="AP721" s="38"/>
    </row>
    <row r="722" spans="9:42" x14ac:dyDescent="0.2">
      <c r="I722" s="38"/>
      <c r="L722" s="38"/>
      <c r="O722" s="38"/>
      <c r="R722" s="38"/>
      <c r="U722" s="38"/>
      <c r="X722" s="38"/>
      <c r="AA722" s="38"/>
      <c r="AD722" s="38"/>
      <c r="AG722" s="38"/>
      <c r="AJ722" s="38"/>
      <c r="AM722" s="38"/>
      <c r="AP722" s="38"/>
    </row>
    <row r="723" spans="9:42" x14ac:dyDescent="0.2">
      <c r="I723" s="38"/>
      <c r="L723" s="38"/>
      <c r="O723" s="38"/>
      <c r="R723" s="38"/>
      <c r="U723" s="38"/>
      <c r="X723" s="38"/>
      <c r="AA723" s="38"/>
      <c r="AD723" s="38"/>
      <c r="AG723" s="38"/>
      <c r="AJ723" s="38"/>
      <c r="AM723" s="38"/>
      <c r="AP723" s="38"/>
    </row>
    <row r="724" spans="9:42" x14ac:dyDescent="0.2">
      <c r="I724" s="38"/>
      <c r="L724" s="38"/>
      <c r="O724" s="38"/>
      <c r="R724" s="38"/>
      <c r="U724" s="38"/>
      <c r="X724" s="38"/>
      <c r="AA724" s="38"/>
      <c r="AD724" s="38"/>
      <c r="AG724" s="38"/>
      <c r="AJ724" s="38"/>
      <c r="AM724" s="38"/>
      <c r="AP724" s="38"/>
    </row>
    <row r="725" spans="9:42" x14ac:dyDescent="0.2">
      <c r="I725" s="38"/>
      <c r="L725" s="38"/>
      <c r="O725" s="38"/>
      <c r="R725" s="38"/>
      <c r="U725" s="38"/>
      <c r="X725" s="38"/>
      <c r="AA725" s="38"/>
      <c r="AD725" s="38"/>
      <c r="AG725" s="38"/>
      <c r="AJ725" s="38"/>
      <c r="AM725" s="38"/>
      <c r="AP725" s="38"/>
    </row>
    <row r="726" spans="9:42" x14ac:dyDescent="0.2">
      <c r="I726" s="38"/>
      <c r="L726" s="38"/>
      <c r="O726" s="38"/>
      <c r="R726" s="38"/>
      <c r="U726" s="38"/>
      <c r="X726" s="38"/>
      <c r="AA726" s="38"/>
      <c r="AD726" s="38"/>
      <c r="AG726" s="38"/>
      <c r="AJ726" s="38"/>
      <c r="AM726" s="38"/>
      <c r="AP726" s="38"/>
    </row>
    <row r="727" spans="9:42" x14ac:dyDescent="0.2">
      <c r="I727" s="38"/>
      <c r="L727" s="38"/>
      <c r="O727" s="38"/>
      <c r="R727" s="38"/>
      <c r="U727" s="38"/>
      <c r="X727" s="38"/>
      <c r="AA727" s="38"/>
      <c r="AD727" s="38"/>
      <c r="AG727" s="38"/>
      <c r="AJ727" s="38"/>
      <c r="AM727" s="38"/>
      <c r="AP727" s="38"/>
    </row>
    <row r="728" spans="9:42" x14ac:dyDescent="0.2">
      <c r="I728" s="38"/>
      <c r="L728" s="38"/>
      <c r="O728" s="38"/>
      <c r="R728" s="38"/>
      <c r="U728" s="38"/>
      <c r="X728" s="38"/>
      <c r="AA728" s="38"/>
      <c r="AD728" s="38"/>
      <c r="AG728" s="38"/>
      <c r="AJ728" s="38"/>
      <c r="AM728" s="38"/>
      <c r="AP728" s="38"/>
    </row>
    <row r="729" spans="9:42" x14ac:dyDescent="0.2">
      <c r="I729" s="38"/>
      <c r="L729" s="38"/>
      <c r="O729" s="38"/>
      <c r="R729" s="38"/>
      <c r="U729" s="38"/>
      <c r="X729" s="38"/>
      <c r="AA729" s="38"/>
      <c r="AD729" s="38"/>
      <c r="AG729" s="38"/>
      <c r="AJ729" s="38"/>
      <c r="AM729" s="38"/>
      <c r="AP729" s="38"/>
    </row>
    <row r="730" spans="9:42" x14ac:dyDescent="0.2">
      <c r="I730" s="38"/>
      <c r="L730" s="38"/>
      <c r="O730" s="38"/>
      <c r="R730" s="38"/>
      <c r="U730" s="38"/>
      <c r="X730" s="38"/>
      <c r="AA730" s="38"/>
      <c r="AD730" s="38"/>
      <c r="AG730" s="38"/>
      <c r="AJ730" s="38"/>
      <c r="AM730" s="38"/>
      <c r="AP730" s="38"/>
    </row>
    <row r="731" spans="9:42" x14ac:dyDescent="0.2">
      <c r="I731" s="38"/>
      <c r="L731" s="38"/>
      <c r="O731" s="38"/>
      <c r="R731" s="38"/>
      <c r="U731" s="38"/>
      <c r="X731" s="38"/>
      <c r="AA731" s="38"/>
      <c r="AD731" s="38"/>
      <c r="AG731" s="38"/>
      <c r="AJ731" s="38"/>
      <c r="AM731" s="38"/>
      <c r="AP731" s="38"/>
    </row>
    <row r="732" spans="9:42" x14ac:dyDescent="0.2">
      <c r="I732" s="38"/>
      <c r="L732" s="38"/>
      <c r="O732" s="38"/>
      <c r="R732" s="38"/>
      <c r="U732" s="38"/>
      <c r="X732" s="38"/>
      <c r="AA732" s="38"/>
      <c r="AD732" s="38"/>
      <c r="AG732" s="38"/>
      <c r="AJ732" s="38"/>
      <c r="AM732" s="38"/>
      <c r="AP732" s="38"/>
    </row>
    <row r="733" spans="9:42" x14ac:dyDescent="0.2">
      <c r="I733" s="38"/>
      <c r="L733" s="38"/>
      <c r="O733" s="38"/>
      <c r="R733" s="38"/>
      <c r="U733" s="38"/>
      <c r="X733" s="38"/>
      <c r="AA733" s="38"/>
      <c r="AD733" s="38"/>
      <c r="AG733" s="38"/>
      <c r="AJ733" s="38"/>
      <c r="AM733" s="38"/>
      <c r="AP733" s="38"/>
    </row>
    <row r="734" spans="9:42" x14ac:dyDescent="0.2">
      <c r="I734" s="38"/>
      <c r="L734" s="38"/>
      <c r="O734" s="38"/>
      <c r="R734" s="38"/>
      <c r="U734" s="38"/>
      <c r="X734" s="38"/>
      <c r="AA734" s="38"/>
      <c r="AD734" s="38"/>
      <c r="AG734" s="38"/>
      <c r="AJ734" s="38"/>
      <c r="AM734" s="38"/>
      <c r="AP734" s="38"/>
    </row>
    <row r="735" spans="9:42" x14ac:dyDescent="0.2">
      <c r="I735" s="38"/>
      <c r="L735" s="38"/>
      <c r="O735" s="38"/>
      <c r="R735" s="38"/>
      <c r="U735" s="38"/>
      <c r="X735" s="38"/>
      <c r="AA735" s="38"/>
      <c r="AD735" s="38"/>
      <c r="AG735" s="38"/>
      <c r="AJ735" s="38"/>
      <c r="AM735" s="38"/>
      <c r="AP735" s="38"/>
    </row>
    <row r="736" spans="9:42" x14ac:dyDescent="0.2">
      <c r="I736" s="38"/>
      <c r="L736" s="38"/>
      <c r="O736" s="38"/>
      <c r="R736" s="38"/>
      <c r="U736" s="38"/>
      <c r="X736" s="38"/>
      <c r="AA736" s="38"/>
      <c r="AD736" s="38"/>
      <c r="AG736" s="38"/>
      <c r="AJ736" s="38"/>
      <c r="AM736" s="38"/>
      <c r="AP736" s="38"/>
    </row>
    <row r="737" spans="9:42" x14ac:dyDescent="0.2">
      <c r="I737" s="38"/>
      <c r="L737" s="38"/>
      <c r="O737" s="38"/>
      <c r="R737" s="38"/>
      <c r="U737" s="38"/>
      <c r="X737" s="38"/>
      <c r="AA737" s="38"/>
      <c r="AD737" s="38"/>
      <c r="AG737" s="38"/>
      <c r="AJ737" s="38"/>
      <c r="AM737" s="38"/>
      <c r="AP737" s="38"/>
    </row>
    <row r="738" spans="9:42" x14ac:dyDescent="0.2">
      <c r="I738" s="38"/>
      <c r="L738" s="38"/>
      <c r="O738" s="38"/>
      <c r="R738" s="38"/>
      <c r="U738" s="38"/>
      <c r="X738" s="38"/>
      <c r="AA738" s="38"/>
      <c r="AD738" s="38"/>
      <c r="AG738" s="38"/>
      <c r="AJ738" s="38"/>
      <c r="AM738" s="38"/>
      <c r="AP738" s="38"/>
    </row>
    <row r="739" spans="9:42" x14ac:dyDescent="0.2">
      <c r="I739" s="38"/>
      <c r="L739" s="38"/>
      <c r="O739" s="38"/>
      <c r="R739" s="38"/>
      <c r="U739" s="38"/>
      <c r="X739" s="38"/>
      <c r="AA739" s="38"/>
      <c r="AD739" s="38"/>
      <c r="AG739" s="38"/>
      <c r="AJ739" s="38"/>
      <c r="AM739" s="38"/>
      <c r="AP739" s="38"/>
    </row>
    <row r="740" spans="9:42" x14ac:dyDescent="0.2">
      <c r="I740" s="38"/>
      <c r="L740" s="38"/>
      <c r="O740" s="38"/>
      <c r="R740" s="38"/>
      <c r="U740" s="38"/>
      <c r="X740" s="38"/>
      <c r="AA740" s="38"/>
      <c r="AD740" s="38"/>
      <c r="AG740" s="38"/>
      <c r="AJ740" s="38"/>
      <c r="AM740" s="38"/>
      <c r="AP740" s="38"/>
    </row>
    <row r="741" spans="9:42" x14ac:dyDescent="0.2">
      <c r="I741" s="38"/>
      <c r="L741" s="38"/>
      <c r="O741" s="38"/>
      <c r="R741" s="38"/>
      <c r="U741" s="38"/>
      <c r="X741" s="38"/>
      <c r="AA741" s="38"/>
      <c r="AD741" s="38"/>
      <c r="AG741" s="38"/>
      <c r="AJ741" s="38"/>
      <c r="AM741" s="38"/>
      <c r="AP741" s="38"/>
    </row>
    <row r="742" spans="9:42" x14ac:dyDescent="0.2">
      <c r="I742" s="38"/>
      <c r="L742" s="38"/>
      <c r="O742" s="38"/>
      <c r="R742" s="38"/>
      <c r="U742" s="38"/>
      <c r="X742" s="38"/>
      <c r="AA742" s="38"/>
      <c r="AD742" s="38"/>
      <c r="AG742" s="38"/>
      <c r="AJ742" s="38"/>
      <c r="AM742" s="38"/>
      <c r="AP742" s="38"/>
    </row>
    <row r="743" spans="9:42" x14ac:dyDescent="0.2">
      <c r="I743" s="38"/>
      <c r="L743" s="38"/>
      <c r="O743" s="38"/>
      <c r="R743" s="38"/>
      <c r="U743" s="38"/>
      <c r="X743" s="38"/>
      <c r="AA743" s="38"/>
      <c r="AD743" s="38"/>
      <c r="AG743" s="38"/>
      <c r="AJ743" s="38"/>
      <c r="AM743" s="38"/>
      <c r="AP743" s="38"/>
    </row>
    <row r="744" spans="9:42" x14ac:dyDescent="0.2">
      <c r="I744" s="38"/>
      <c r="L744" s="38"/>
      <c r="O744" s="38"/>
      <c r="R744" s="38"/>
      <c r="U744" s="38"/>
      <c r="X744" s="38"/>
      <c r="AA744" s="38"/>
      <c r="AD744" s="38"/>
      <c r="AG744" s="38"/>
      <c r="AJ744" s="38"/>
      <c r="AM744" s="38"/>
      <c r="AP744" s="38"/>
    </row>
    <row r="745" spans="9:42" x14ac:dyDescent="0.2">
      <c r="I745" s="38"/>
      <c r="L745" s="38"/>
      <c r="O745" s="38"/>
      <c r="R745" s="38"/>
      <c r="U745" s="38"/>
      <c r="X745" s="38"/>
      <c r="AA745" s="38"/>
      <c r="AD745" s="38"/>
      <c r="AG745" s="38"/>
      <c r="AJ745" s="38"/>
      <c r="AM745" s="38"/>
      <c r="AP745" s="38"/>
    </row>
    <row r="746" spans="9:42" x14ac:dyDescent="0.2">
      <c r="I746" s="38"/>
      <c r="L746" s="38"/>
      <c r="O746" s="38"/>
      <c r="R746" s="38"/>
      <c r="U746" s="38"/>
      <c r="X746" s="38"/>
      <c r="AA746" s="38"/>
      <c r="AD746" s="38"/>
      <c r="AG746" s="38"/>
      <c r="AJ746" s="38"/>
      <c r="AM746" s="38"/>
      <c r="AP746" s="38"/>
    </row>
    <row r="747" spans="9:42" x14ac:dyDescent="0.2">
      <c r="I747" s="38"/>
      <c r="L747" s="38"/>
      <c r="O747" s="38"/>
      <c r="R747" s="38"/>
      <c r="U747" s="38"/>
      <c r="X747" s="38"/>
      <c r="AA747" s="38"/>
      <c r="AD747" s="38"/>
      <c r="AG747" s="38"/>
      <c r="AJ747" s="38"/>
      <c r="AM747" s="38"/>
      <c r="AP747" s="38"/>
    </row>
    <row r="748" spans="9:42" x14ac:dyDescent="0.2">
      <c r="I748" s="38"/>
      <c r="L748" s="38"/>
      <c r="O748" s="38"/>
      <c r="R748" s="38"/>
      <c r="U748" s="38"/>
      <c r="X748" s="38"/>
      <c r="AA748" s="38"/>
      <c r="AD748" s="38"/>
      <c r="AG748" s="38"/>
      <c r="AJ748" s="38"/>
      <c r="AM748" s="38"/>
      <c r="AP748" s="38"/>
    </row>
    <row r="749" spans="9:42" x14ac:dyDescent="0.2">
      <c r="I749" s="38"/>
      <c r="L749" s="38"/>
      <c r="O749" s="38"/>
      <c r="R749" s="38"/>
      <c r="U749" s="38"/>
      <c r="X749" s="38"/>
      <c r="AA749" s="38"/>
      <c r="AD749" s="38"/>
      <c r="AG749" s="38"/>
      <c r="AJ749" s="38"/>
      <c r="AM749" s="38"/>
      <c r="AP749" s="38"/>
    </row>
    <row r="750" spans="9:42" x14ac:dyDescent="0.2">
      <c r="I750" s="38"/>
      <c r="L750" s="38"/>
      <c r="O750" s="38"/>
      <c r="R750" s="38"/>
      <c r="U750" s="38"/>
      <c r="X750" s="38"/>
      <c r="AA750" s="38"/>
      <c r="AD750" s="38"/>
      <c r="AG750" s="38"/>
      <c r="AJ750" s="38"/>
      <c r="AM750" s="38"/>
      <c r="AP750" s="38"/>
    </row>
    <row r="751" spans="9:42" x14ac:dyDescent="0.2">
      <c r="I751" s="38"/>
      <c r="L751" s="38"/>
      <c r="O751" s="38"/>
      <c r="R751" s="38"/>
      <c r="U751" s="38"/>
      <c r="X751" s="38"/>
      <c r="AA751" s="38"/>
      <c r="AD751" s="38"/>
      <c r="AG751" s="38"/>
      <c r="AJ751" s="38"/>
      <c r="AM751" s="38"/>
      <c r="AP751" s="38"/>
    </row>
    <row r="752" spans="9:42" x14ac:dyDescent="0.2">
      <c r="I752" s="38"/>
      <c r="L752" s="38"/>
      <c r="O752" s="38"/>
      <c r="R752" s="38"/>
      <c r="U752" s="38"/>
      <c r="X752" s="38"/>
      <c r="AA752" s="38"/>
      <c r="AD752" s="38"/>
      <c r="AG752" s="38"/>
      <c r="AJ752" s="38"/>
      <c r="AM752" s="38"/>
      <c r="AP752" s="38"/>
    </row>
    <row r="753" spans="9:42" x14ac:dyDescent="0.2">
      <c r="I753" s="38"/>
      <c r="L753" s="38"/>
      <c r="O753" s="38"/>
      <c r="R753" s="38"/>
      <c r="U753" s="38"/>
      <c r="X753" s="38"/>
      <c r="AA753" s="38"/>
      <c r="AD753" s="38"/>
      <c r="AG753" s="38"/>
      <c r="AJ753" s="38"/>
      <c r="AM753" s="38"/>
      <c r="AP753" s="38"/>
    </row>
    <row r="754" spans="9:42" x14ac:dyDescent="0.2">
      <c r="I754" s="38"/>
      <c r="L754" s="38"/>
      <c r="O754" s="38"/>
      <c r="R754" s="38"/>
      <c r="U754" s="38"/>
      <c r="X754" s="38"/>
      <c r="AA754" s="38"/>
      <c r="AD754" s="38"/>
      <c r="AG754" s="38"/>
      <c r="AJ754" s="38"/>
      <c r="AM754" s="38"/>
      <c r="AP754" s="38"/>
    </row>
    <row r="755" spans="9:42" x14ac:dyDescent="0.2">
      <c r="I755" s="38"/>
      <c r="L755" s="38"/>
      <c r="O755" s="38"/>
      <c r="R755" s="38"/>
      <c r="U755" s="38"/>
      <c r="X755" s="38"/>
      <c r="AA755" s="38"/>
      <c r="AD755" s="38"/>
      <c r="AG755" s="38"/>
      <c r="AJ755" s="38"/>
      <c r="AM755" s="38"/>
      <c r="AP755" s="38"/>
    </row>
    <row r="756" spans="9:42" x14ac:dyDescent="0.2">
      <c r="I756" s="38"/>
      <c r="L756" s="38"/>
      <c r="O756" s="38"/>
      <c r="R756" s="38"/>
      <c r="U756" s="38"/>
      <c r="X756" s="38"/>
      <c r="AA756" s="38"/>
      <c r="AD756" s="38"/>
      <c r="AG756" s="38"/>
      <c r="AJ756" s="38"/>
      <c r="AM756" s="38"/>
      <c r="AP756" s="38"/>
    </row>
    <row r="757" spans="9:42" x14ac:dyDescent="0.2">
      <c r="I757" s="38"/>
      <c r="L757" s="38"/>
      <c r="O757" s="38"/>
      <c r="R757" s="38"/>
      <c r="U757" s="38"/>
      <c r="X757" s="38"/>
      <c r="AA757" s="38"/>
      <c r="AD757" s="38"/>
      <c r="AG757" s="38"/>
      <c r="AJ757" s="38"/>
      <c r="AM757" s="38"/>
      <c r="AP757" s="38"/>
    </row>
    <row r="758" spans="9:42" x14ac:dyDescent="0.2">
      <c r="I758" s="38"/>
      <c r="L758" s="38"/>
      <c r="O758" s="38"/>
      <c r="R758" s="38"/>
      <c r="U758" s="38"/>
      <c r="X758" s="38"/>
      <c r="AA758" s="38"/>
      <c r="AD758" s="38"/>
      <c r="AG758" s="38"/>
      <c r="AJ758" s="38"/>
      <c r="AM758" s="38"/>
      <c r="AP758" s="38"/>
    </row>
    <row r="759" spans="9:42" x14ac:dyDescent="0.2">
      <c r="I759" s="38"/>
      <c r="L759" s="38"/>
      <c r="O759" s="38"/>
      <c r="R759" s="38"/>
      <c r="U759" s="38"/>
      <c r="X759" s="38"/>
      <c r="AA759" s="38"/>
      <c r="AD759" s="38"/>
      <c r="AG759" s="38"/>
      <c r="AJ759" s="38"/>
      <c r="AM759" s="38"/>
      <c r="AP759" s="38"/>
    </row>
    <row r="760" spans="9:42" x14ac:dyDescent="0.2">
      <c r="I760" s="38"/>
      <c r="L760" s="38"/>
      <c r="O760" s="38"/>
      <c r="R760" s="38"/>
      <c r="U760" s="38"/>
      <c r="X760" s="38"/>
      <c r="AA760" s="38"/>
      <c r="AD760" s="38"/>
      <c r="AG760" s="38"/>
      <c r="AJ760" s="38"/>
      <c r="AM760" s="38"/>
      <c r="AP760" s="38"/>
    </row>
    <row r="761" spans="9:42" x14ac:dyDescent="0.2">
      <c r="I761" s="38"/>
      <c r="L761" s="38"/>
      <c r="O761" s="38"/>
      <c r="R761" s="38"/>
      <c r="U761" s="38"/>
      <c r="X761" s="38"/>
      <c r="AA761" s="38"/>
      <c r="AD761" s="38"/>
      <c r="AG761" s="38"/>
      <c r="AJ761" s="38"/>
      <c r="AM761" s="38"/>
      <c r="AP761" s="38"/>
    </row>
    <row r="762" spans="9:42" x14ac:dyDescent="0.2">
      <c r="I762" s="38"/>
      <c r="L762" s="38"/>
      <c r="O762" s="38"/>
      <c r="R762" s="38"/>
      <c r="U762" s="38"/>
      <c r="X762" s="38"/>
      <c r="AA762" s="38"/>
      <c r="AD762" s="38"/>
      <c r="AG762" s="38"/>
      <c r="AJ762" s="38"/>
      <c r="AM762" s="38"/>
      <c r="AP762" s="38"/>
    </row>
    <row r="763" spans="9:42" x14ac:dyDescent="0.2">
      <c r="I763" s="38"/>
      <c r="L763" s="38"/>
      <c r="O763" s="38"/>
      <c r="R763" s="38"/>
      <c r="U763" s="38"/>
      <c r="X763" s="38"/>
      <c r="AA763" s="38"/>
      <c r="AD763" s="38"/>
      <c r="AG763" s="38"/>
      <c r="AJ763" s="38"/>
      <c r="AM763" s="38"/>
      <c r="AP763" s="38"/>
    </row>
    <row r="764" spans="9:42" x14ac:dyDescent="0.2">
      <c r="I764" s="38"/>
      <c r="L764" s="38"/>
      <c r="O764" s="38"/>
      <c r="R764" s="38"/>
      <c r="U764" s="38"/>
      <c r="X764" s="38"/>
      <c r="AA764" s="38"/>
      <c r="AD764" s="38"/>
      <c r="AG764" s="38"/>
      <c r="AJ764" s="38"/>
      <c r="AM764" s="38"/>
      <c r="AP764" s="38"/>
    </row>
    <row r="765" spans="9:42" x14ac:dyDescent="0.2">
      <c r="I765" s="38"/>
      <c r="L765" s="38"/>
      <c r="O765" s="38"/>
      <c r="R765" s="38"/>
      <c r="U765" s="38"/>
      <c r="X765" s="38"/>
      <c r="AA765" s="38"/>
      <c r="AD765" s="38"/>
      <c r="AG765" s="38"/>
      <c r="AJ765" s="38"/>
      <c r="AM765" s="38"/>
      <c r="AP765" s="38"/>
    </row>
    <row r="766" spans="9:42" x14ac:dyDescent="0.2">
      <c r="I766" s="38"/>
      <c r="L766" s="38"/>
      <c r="O766" s="38"/>
      <c r="R766" s="38"/>
      <c r="U766" s="38"/>
      <c r="X766" s="38"/>
      <c r="AA766" s="38"/>
      <c r="AD766" s="38"/>
      <c r="AG766" s="38"/>
      <c r="AJ766" s="38"/>
      <c r="AM766" s="38"/>
      <c r="AP766" s="38"/>
    </row>
    <row r="767" spans="9:42" x14ac:dyDescent="0.2">
      <c r="I767" s="38"/>
      <c r="L767" s="38"/>
      <c r="O767" s="38"/>
      <c r="R767" s="38"/>
      <c r="U767" s="38"/>
      <c r="X767" s="38"/>
      <c r="AA767" s="38"/>
      <c r="AD767" s="38"/>
      <c r="AG767" s="38"/>
      <c r="AJ767" s="38"/>
      <c r="AM767" s="38"/>
      <c r="AP767" s="38"/>
    </row>
    <row r="768" spans="9:42" x14ac:dyDescent="0.2">
      <c r="I768" s="38"/>
      <c r="L768" s="38"/>
      <c r="O768" s="38"/>
      <c r="R768" s="38"/>
      <c r="U768" s="38"/>
      <c r="X768" s="38"/>
      <c r="AA768" s="38"/>
      <c r="AD768" s="38"/>
      <c r="AG768" s="38"/>
      <c r="AJ768" s="38"/>
      <c r="AM768" s="38"/>
      <c r="AP768" s="38"/>
    </row>
    <row r="769" spans="9:42" x14ac:dyDescent="0.2">
      <c r="I769" s="38"/>
      <c r="L769" s="38"/>
      <c r="O769" s="38"/>
      <c r="R769" s="38"/>
      <c r="U769" s="38"/>
      <c r="X769" s="38"/>
      <c r="AA769" s="38"/>
      <c r="AD769" s="38"/>
      <c r="AG769" s="38"/>
      <c r="AJ769" s="38"/>
      <c r="AM769" s="38"/>
      <c r="AP769" s="38"/>
    </row>
    <row r="770" spans="9:42" x14ac:dyDescent="0.2">
      <c r="I770" s="38"/>
      <c r="L770" s="38"/>
      <c r="O770" s="38"/>
      <c r="R770" s="38"/>
      <c r="U770" s="38"/>
      <c r="X770" s="38"/>
      <c r="AA770" s="38"/>
      <c r="AD770" s="38"/>
      <c r="AG770" s="38"/>
      <c r="AJ770" s="38"/>
      <c r="AM770" s="38"/>
      <c r="AP770" s="38"/>
    </row>
    <row r="771" spans="9:42" x14ac:dyDescent="0.2">
      <c r="I771" s="38"/>
      <c r="L771" s="38"/>
      <c r="O771" s="38"/>
      <c r="R771" s="38"/>
      <c r="U771" s="38"/>
      <c r="X771" s="38"/>
      <c r="AA771" s="38"/>
      <c r="AD771" s="38"/>
      <c r="AG771" s="38"/>
      <c r="AJ771" s="38"/>
      <c r="AM771" s="38"/>
      <c r="AP771" s="38"/>
    </row>
    <row r="772" spans="9:42" x14ac:dyDescent="0.2">
      <c r="I772" s="38"/>
      <c r="L772" s="38"/>
      <c r="O772" s="38"/>
      <c r="R772" s="38"/>
      <c r="U772" s="38"/>
      <c r="X772" s="38"/>
      <c r="AA772" s="38"/>
      <c r="AD772" s="38"/>
      <c r="AG772" s="38"/>
      <c r="AJ772" s="38"/>
      <c r="AM772" s="38"/>
      <c r="AP772" s="38"/>
    </row>
    <row r="773" spans="9:42" x14ac:dyDescent="0.2">
      <c r="I773" s="38"/>
      <c r="L773" s="38"/>
      <c r="O773" s="38"/>
      <c r="R773" s="38"/>
      <c r="U773" s="38"/>
      <c r="X773" s="38"/>
      <c r="AA773" s="38"/>
      <c r="AD773" s="38"/>
      <c r="AG773" s="38"/>
      <c r="AJ773" s="38"/>
      <c r="AM773" s="38"/>
      <c r="AP773" s="38"/>
    </row>
    <row r="774" spans="9:42" x14ac:dyDescent="0.2">
      <c r="I774" s="38"/>
      <c r="L774" s="38"/>
      <c r="O774" s="38"/>
      <c r="R774" s="38"/>
      <c r="U774" s="38"/>
      <c r="X774" s="38"/>
      <c r="AA774" s="38"/>
      <c r="AD774" s="38"/>
      <c r="AG774" s="38"/>
      <c r="AJ774" s="38"/>
      <c r="AM774" s="38"/>
      <c r="AP774" s="38"/>
    </row>
    <row r="775" spans="9:42" x14ac:dyDescent="0.2">
      <c r="I775" s="38"/>
      <c r="L775" s="38"/>
      <c r="O775" s="38"/>
      <c r="R775" s="38"/>
      <c r="U775" s="38"/>
      <c r="X775" s="38"/>
      <c r="AA775" s="38"/>
      <c r="AD775" s="38"/>
      <c r="AG775" s="38"/>
      <c r="AJ775" s="38"/>
      <c r="AM775" s="38"/>
      <c r="AP775" s="38"/>
    </row>
    <row r="776" spans="9:42" x14ac:dyDescent="0.2">
      <c r="I776" s="38"/>
      <c r="L776" s="38"/>
      <c r="O776" s="38"/>
      <c r="R776" s="38"/>
      <c r="U776" s="38"/>
      <c r="X776" s="38"/>
      <c r="AA776" s="38"/>
      <c r="AD776" s="38"/>
      <c r="AG776" s="38"/>
      <c r="AJ776" s="38"/>
      <c r="AM776" s="38"/>
      <c r="AP776" s="38"/>
    </row>
    <row r="777" spans="9:42" x14ac:dyDescent="0.2">
      <c r="I777" s="38"/>
      <c r="L777" s="38"/>
      <c r="O777" s="38"/>
      <c r="R777" s="38"/>
      <c r="U777" s="38"/>
      <c r="X777" s="38"/>
      <c r="AA777" s="38"/>
      <c r="AD777" s="38"/>
      <c r="AG777" s="38"/>
      <c r="AJ777" s="38"/>
      <c r="AM777" s="38"/>
      <c r="AP777" s="38"/>
    </row>
    <row r="778" spans="9:42" x14ac:dyDescent="0.2">
      <c r="I778" s="38"/>
      <c r="L778" s="38"/>
      <c r="O778" s="38"/>
      <c r="R778" s="38"/>
      <c r="U778" s="38"/>
      <c r="X778" s="38"/>
      <c r="AA778" s="38"/>
      <c r="AD778" s="38"/>
      <c r="AG778" s="38"/>
      <c r="AJ778" s="38"/>
      <c r="AM778" s="38"/>
      <c r="AP778" s="38"/>
    </row>
    <row r="779" spans="9:42" x14ac:dyDescent="0.2">
      <c r="I779" s="38"/>
      <c r="L779" s="38"/>
      <c r="O779" s="38"/>
      <c r="R779" s="38"/>
      <c r="U779" s="38"/>
      <c r="X779" s="38"/>
      <c r="AA779" s="38"/>
      <c r="AD779" s="38"/>
      <c r="AG779" s="38"/>
      <c r="AJ779" s="38"/>
      <c r="AM779" s="38"/>
      <c r="AP779" s="38"/>
    </row>
    <row r="780" spans="9:42" x14ac:dyDescent="0.2">
      <c r="I780" s="38"/>
      <c r="L780" s="38"/>
      <c r="O780" s="38"/>
      <c r="R780" s="38"/>
      <c r="U780" s="38"/>
      <c r="X780" s="38"/>
      <c r="AA780" s="38"/>
      <c r="AD780" s="38"/>
      <c r="AG780" s="38"/>
      <c r="AJ780" s="38"/>
      <c r="AM780" s="38"/>
      <c r="AP780" s="38"/>
    </row>
    <row r="781" spans="9:42" x14ac:dyDescent="0.2">
      <c r="I781" s="38"/>
      <c r="L781" s="38"/>
      <c r="O781" s="38"/>
      <c r="R781" s="38"/>
      <c r="U781" s="38"/>
      <c r="X781" s="38"/>
      <c r="AA781" s="38"/>
      <c r="AD781" s="38"/>
      <c r="AG781" s="38"/>
      <c r="AJ781" s="38"/>
      <c r="AM781" s="38"/>
      <c r="AP781" s="38"/>
    </row>
    <row r="782" spans="9:42" x14ac:dyDescent="0.2">
      <c r="I782" s="38"/>
      <c r="L782" s="38"/>
      <c r="O782" s="38"/>
      <c r="R782" s="38"/>
      <c r="U782" s="38"/>
      <c r="X782" s="38"/>
      <c r="AA782" s="38"/>
      <c r="AD782" s="38"/>
      <c r="AG782" s="38"/>
      <c r="AJ782" s="38"/>
      <c r="AM782" s="38"/>
      <c r="AP782" s="38"/>
    </row>
    <row r="783" spans="9:42" x14ac:dyDescent="0.2">
      <c r="I783" s="38"/>
      <c r="L783" s="38"/>
      <c r="O783" s="38"/>
      <c r="R783" s="38"/>
      <c r="U783" s="38"/>
      <c r="X783" s="38"/>
      <c r="AA783" s="38"/>
      <c r="AD783" s="38"/>
      <c r="AG783" s="38"/>
      <c r="AJ783" s="38"/>
      <c r="AM783" s="38"/>
      <c r="AP783" s="38"/>
    </row>
    <row r="784" spans="9:42" x14ac:dyDescent="0.2">
      <c r="I784" s="38"/>
      <c r="L784" s="38"/>
      <c r="O784" s="38"/>
      <c r="R784" s="38"/>
      <c r="U784" s="38"/>
      <c r="X784" s="38"/>
      <c r="AA784" s="38"/>
      <c r="AD784" s="38"/>
      <c r="AG784" s="38"/>
      <c r="AJ784" s="38"/>
      <c r="AM784" s="38"/>
      <c r="AP784" s="38"/>
    </row>
    <row r="785" spans="9:42" x14ac:dyDescent="0.2">
      <c r="I785" s="38"/>
      <c r="L785" s="38"/>
      <c r="O785" s="38"/>
      <c r="R785" s="38"/>
      <c r="U785" s="38"/>
      <c r="X785" s="38"/>
      <c r="AA785" s="38"/>
      <c r="AD785" s="38"/>
      <c r="AG785" s="38"/>
      <c r="AJ785" s="38"/>
      <c r="AM785" s="38"/>
      <c r="AP785" s="38"/>
    </row>
    <row r="786" spans="9:42" x14ac:dyDescent="0.2">
      <c r="I786" s="38"/>
      <c r="L786" s="38"/>
      <c r="O786" s="38"/>
      <c r="R786" s="38"/>
      <c r="U786" s="38"/>
      <c r="X786" s="38"/>
      <c r="AA786" s="38"/>
      <c r="AD786" s="38"/>
      <c r="AG786" s="38"/>
      <c r="AJ786" s="38"/>
      <c r="AM786" s="38"/>
      <c r="AP786" s="38"/>
    </row>
    <row r="787" spans="9:42" x14ac:dyDescent="0.2">
      <c r="I787" s="38"/>
      <c r="L787" s="38"/>
      <c r="O787" s="38"/>
      <c r="R787" s="38"/>
      <c r="U787" s="38"/>
      <c r="X787" s="38"/>
      <c r="AA787" s="38"/>
      <c r="AD787" s="38"/>
      <c r="AG787" s="38"/>
      <c r="AJ787" s="38"/>
      <c r="AM787" s="38"/>
      <c r="AP787" s="38"/>
    </row>
    <row r="788" spans="9:42" x14ac:dyDescent="0.2">
      <c r="I788" s="38"/>
      <c r="L788" s="38"/>
      <c r="O788" s="38"/>
      <c r="R788" s="38"/>
      <c r="U788" s="38"/>
      <c r="X788" s="38"/>
      <c r="AA788" s="38"/>
      <c r="AD788" s="38"/>
      <c r="AG788" s="38"/>
      <c r="AJ788" s="38"/>
      <c r="AM788" s="38"/>
      <c r="AP788" s="38"/>
    </row>
    <row r="789" spans="9:42" x14ac:dyDescent="0.2">
      <c r="I789" s="38"/>
      <c r="L789" s="38"/>
      <c r="O789" s="38"/>
      <c r="R789" s="38"/>
      <c r="U789" s="38"/>
      <c r="X789" s="38"/>
      <c r="AA789" s="38"/>
      <c r="AD789" s="38"/>
      <c r="AG789" s="38"/>
      <c r="AJ789" s="38"/>
      <c r="AM789" s="38"/>
      <c r="AP789" s="38"/>
    </row>
    <row r="790" spans="9:42" x14ac:dyDescent="0.2">
      <c r="I790" s="38"/>
      <c r="L790" s="38"/>
      <c r="O790" s="38"/>
      <c r="R790" s="38"/>
      <c r="U790" s="38"/>
      <c r="X790" s="38"/>
      <c r="AA790" s="38"/>
      <c r="AD790" s="38"/>
      <c r="AG790" s="38"/>
      <c r="AJ790" s="38"/>
      <c r="AM790" s="38"/>
      <c r="AP790" s="38"/>
    </row>
    <row r="791" spans="9:42" x14ac:dyDescent="0.2">
      <c r="I791" s="38"/>
      <c r="L791" s="38"/>
      <c r="O791" s="38"/>
      <c r="R791" s="38"/>
      <c r="U791" s="38"/>
      <c r="X791" s="38"/>
      <c r="AA791" s="38"/>
      <c r="AD791" s="38"/>
      <c r="AG791" s="38"/>
      <c r="AJ791" s="38"/>
      <c r="AM791" s="38"/>
      <c r="AP791" s="38"/>
    </row>
    <row r="792" spans="9:42" x14ac:dyDescent="0.2">
      <c r="I792" s="38"/>
      <c r="L792" s="38"/>
      <c r="O792" s="38"/>
      <c r="R792" s="38"/>
      <c r="U792" s="38"/>
      <c r="X792" s="38"/>
      <c r="AA792" s="38"/>
      <c r="AD792" s="38"/>
      <c r="AG792" s="38"/>
      <c r="AJ792" s="38"/>
      <c r="AM792" s="38"/>
      <c r="AP792" s="38"/>
    </row>
    <row r="793" spans="9:42" x14ac:dyDescent="0.2">
      <c r="I793" s="38"/>
      <c r="L793" s="38"/>
      <c r="O793" s="38"/>
      <c r="R793" s="38"/>
      <c r="U793" s="38"/>
      <c r="X793" s="38"/>
      <c r="AA793" s="38"/>
      <c r="AD793" s="38"/>
      <c r="AG793" s="38"/>
      <c r="AJ793" s="38"/>
      <c r="AM793" s="38"/>
      <c r="AP793" s="38"/>
    </row>
    <row r="794" spans="9:42" x14ac:dyDescent="0.2">
      <c r="I794" s="38"/>
      <c r="L794" s="38"/>
      <c r="O794" s="38"/>
      <c r="R794" s="38"/>
      <c r="U794" s="38"/>
      <c r="X794" s="38"/>
      <c r="AA794" s="38"/>
      <c r="AD794" s="38"/>
      <c r="AG794" s="38"/>
      <c r="AJ794" s="38"/>
      <c r="AM794" s="38"/>
      <c r="AP794" s="38"/>
    </row>
    <row r="795" spans="9:42" x14ac:dyDescent="0.2">
      <c r="I795" s="38"/>
      <c r="L795" s="38"/>
      <c r="O795" s="38"/>
      <c r="R795" s="38"/>
      <c r="U795" s="38"/>
      <c r="X795" s="38"/>
      <c r="AA795" s="38"/>
      <c r="AD795" s="38"/>
      <c r="AG795" s="38"/>
      <c r="AJ795" s="38"/>
      <c r="AM795" s="38"/>
      <c r="AP795" s="38"/>
    </row>
    <row r="796" spans="9:42" x14ac:dyDescent="0.2">
      <c r="I796" s="38"/>
      <c r="L796" s="38"/>
      <c r="O796" s="38"/>
      <c r="R796" s="38"/>
      <c r="U796" s="38"/>
      <c r="X796" s="38"/>
      <c r="AA796" s="38"/>
      <c r="AD796" s="38"/>
      <c r="AG796" s="38"/>
      <c r="AJ796" s="38"/>
      <c r="AM796" s="38"/>
      <c r="AP796" s="38"/>
    </row>
    <row r="797" spans="9:42" x14ac:dyDescent="0.2">
      <c r="I797" s="38"/>
      <c r="L797" s="38"/>
      <c r="O797" s="38"/>
      <c r="R797" s="38"/>
      <c r="U797" s="38"/>
      <c r="X797" s="38"/>
      <c r="AA797" s="38"/>
      <c r="AD797" s="38"/>
      <c r="AG797" s="38"/>
      <c r="AJ797" s="38"/>
      <c r="AM797" s="38"/>
      <c r="AP797" s="38"/>
    </row>
    <row r="798" spans="9:42" x14ac:dyDescent="0.2">
      <c r="I798" s="38"/>
      <c r="L798" s="38"/>
      <c r="O798" s="38"/>
      <c r="R798" s="38"/>
      <c r="U798" s="38"/>
      <c r="X798" s="38"/>
      <c r="AA798" s="38"/>
      <c r="AD798" s="38"/>
      <c r="AG798" s="38"/>
      <c r="AJ798" s="38"/>
      <c r="AM798" s="38"/>
      <c r="AP798" s="38"/>
    </row>
    <row r="799" spans="9:42" x14ac:dyDescent="0.2">
      <c r="I799" s="38"/>
      <c r="L799" s="38"/>
      <c r="O799" s="38"/>
      <c r="R799" s="38"/>
      <c r="U799" s="38"/>
      <c r="X799" s="38"/>
      <c r="AA799" s="38"/>
      <c r="AD799" s="38"/>
      <c r="AG799" s="38"/>
      <c r="AJ799" s="38"/>
      <c r="AM799" s="38"/>
      <c r="AP799" s="38"/>
    </row>
    <row r="800" spans="9:42" x14ac:dyDescent="0.2">
      <c r="I800" s="38"/>
      <c r="L800" s="38"/>
      <c r="O800" s="38"/>
      <c r="R800" s="38"/>
      <c r="U800" s="38"/>
      <c r="X800" s="38"/>
      <c r="AA800" s="38"/>
      <c r="AD800" s="38"/>
      <c r="AG800" s="38"/>
      <c r="AJ800" s="38"/>
      <c r="AM800" s="38"/>
      <c r="AP800" s="38"/>
    </row>
    <row r="801" spans="9:42" x14ac:dyDescent="0.2">
      <c r="I801" s="38"/>
      <c r="L801" s="38"/>
      <c r="O801" s="38"/>
      <c r="R801" s="38"/>
      <c r="U801" s="38"/>
      <c r="X801" s="38"/>
      <c r="AA801" s="38"/>
      <c r="AD801" s="38"/>
      <c r="AG801" s="38"/>
      <c r="AJ801" s="38"/>
      <c r="AM801" s="38"/>
      <c r="AP801" s="38"/>
    </row>
    <row r="802" spans="9:42" x14ac:dyDescent="0.2">
      <c r="I802" s="38"/>
      <c r="L802" s="38"/>
      <c r="O802" s="38"/>
      <c r="R802" s="38"/>
      <c r="U802" s="38"/>
      <c r="X802" s="38"/>
      <c r="AA802" s="38"/>
      <c r="AD802" s="38"/>
      <c r="AG802" s="38"/>
      <c r="AJ802" s="38"/>
      <c r="AM802" s="38"/>
      <c r="AP802" s="38"/>
    </row>
    <row r="803" spans="9:42" x14ac:dyDescent="0.2">
      <c r="I803" s="38"/>
      <c r="L803" s="38"/>
      <c r="O803" s="38"/>
      <c r="R803" s="38"/>
      <c r="U803" s="38"/>
      <c r="X803" s="38"/>
      <c r="AA803" s="38"/>
      <c r="AD803" s="38"/>
      <c r="AG803" s="38"/>
      <c r="AJ803" s="38"/>
      <c r="AM803" s="38"/>
      <c r="AP803" s="38"/>
    </row>
    <row r="804" spans="9:42" x14ac:dyDescent="0.2">
      <c r="I804" s="38"/>
      <c r="L804" s="38"/>
      <c r="O804" s="38"/>
      <c r="R804" s="38"/>
      <c r="U804" s="38"/>
      <c r="X804" s="38"/>
      <c r="AA804" s="38"/>
      <c r="AD804" s="38"/>
      <c r="AG804" s="38"/>
      <c r="AJ804" s="38"/>
      <c r="AM804" s="38"/>
      <c r="AP804" s="38"/>
    </row>
    <row r="805" spans="9:42" x14ac:dyDescent="0.2">
      <c r="I805" s="38"/>
      <c r="L805" s="38"/>
      <c r="O805" s="38"/>
      <c r="R805" s="38"/>
      <c r="U805" s="38"/>
      <c r="X805" s="38"/>
      <c r="AA805" s="38"/>
      <c r="AD805" s="38"/>
      <c r="AG805" s="38"/>
      <c r="AJ805" s="38"/>
      <c r="AM805" s="38"/>
      <c r="AP805" s="38"/>
    </row>
    <row r="806" spans="9:42" x14ac:dyDescent="0.2">
      <c r="I806" s="38"/>
      <c r="L806" s="38"/>
      <c r="O806" s="38"/>
      <c r="R806" s="38"/>
      <c r="U806" s="38"/>
      <c r="X806" s="38"/>
      <c r="AA806" s="38"/>
      <c r="AD806" s="38"/>
      <c r="AG806" s="38"/>
      <c r="AJ806" s="38"/>
      <c r="AM806" s="38"/>
      <c r="AP806" s="38"/>
    </row>
    <row r="807" spans="9:42" x14ac:dyDescent="0.2">
      <c r="I807" s="38"/>
      <c r="L807" s="38"/>
      <c r="O807" s="38"/>
      <c r="R807" s="38"/>
      <c r="U807" s="38"/>
      <c r="X807" s="38"/>
      <c r="AA807" s="38"/>
      <c r="AD807" s="38"/>
      <c r="AG807" s="38"/>
      <c r="AJ807" s="38"/>
      <c r="AM807" s="38"/>
      <c r="AP807" s="38"/>
    </row>
    <row r="808" spans="9:42" x14ac:dyDescent="0.2">
      <c r="I808" s="38"/>
      <c r="L808" s="38"/>
      <c r="O808" s="38"/>
      <c r="R808" s="38"/>
      <c r="U808" s="38"/>
      <c r="X808" s="38"/>
      <c r="AA808" s="38"/>
      <c r="AD808" s="38"/>
      <c r="AG808" s="38"/>
      <c r="AJ808" s="38"/>
      <c r="AM808" s="38"/>
      <c r="AP808" s="38"/>
    </row>
    <row r="809" spans="9:42" x14ac:dyDescent="0.2">
      <c r="I809" s="38"/>
      <c r="L809" s="38"/>
      <c r="O809" s="38"/>
      <c r="R809" s="38"/>
      <c r="U809" s="38"/>
      <c r="X809" s="38"/>
      <c r="AA809" s="38"/>
      <c r="AD809" s="38"/>
      <c r="AG809" s="38"/>
      <c r="AJ809" s="38"/>
      <c r="AM809" s="38"/>
      <c r="AP809" s="38"/>
    </row>
    <row r="810" spans="9:42" x14ac:dyDescent="0.2">
      <c r="I810" s="38"/>
      <c r="L810" s="38"/>
      <c r="O810" s="38"/>
      <c r="R810" s="38"/>
      <c r="U810" s="38"/>
      <c r="X810" s="38"/>
      <c r="AA810" s="38"/>
      <c r="AD810" s="38"/>
      <c r="AG810" s="38"/>
      <c r="AJ810" s="38"/>
      <c r="AM810" s="38"/>
      <c r="AP810" s="38"/>
    </row>
    <row r="811" spans="9:42" x14ac:dyDescent="0.2">
      <c r="I811" s="38"/>
      <c r="L811" s="38"/>
      <c r="O811" s="38"/>
      <c r="R811" s="38"/>
      <c r="U811" s="38"/>
      <c r="X811" s="38"/>
      <c r="AA811" s="38"/>
      <c r="AD811" s="38"/>
      <c r="AG811" s="38"/>
      <c r="AJ811" s="38"/>
      <c r="AM811" s="38"/>
      <c r="AP811" s="38"/>
    </row>
    <row r="812" spans="9:42" x14ac:dyDescent="0.2">
      <c r="I812" s="38"/>
      <c r="L812" s="38"/>
      <c r="O812" s="38"/>
      <c r="R812" s="38"/>
      <c r="U812" s="38"/>
      <c r="X812" s="38"/>
      <c r="AA812" s="38"/>
      <c r="AD812" s="38"/>
      <c r="AG812" s="38"/>
      <c r="AJ812" s="38"/>
      <c r="AM812" s="38"/>
      <c r="AP812" s="38"/>
    </row>
    <row r="813" spans="9:42" x14ac:dyDescent="0.2">
      <c r="I813" s="38"/>
      <c r="L813" s="38"/>
      <c r="O813" s="38"/>
      <c r="R813" s="38"/>
      <c r="U813" s="38"/>
      <c r="X813" s="38"/>
      <c r="AA813" s="38"/>
      <c r="AD813" s="38"/>
      <c r="AG813" s="38"/>
      <c r="AJ813" s="38"/>
      <c r="AM813" s="38"/>
      <c r="AP813" s="38"/>
    </row>
    <row r="814" spans="9:42" x14ac:dyDescent="0.2">
      <c r="I814" s="38"/>
      <c r="L814" s="38"/>
      <c r="O814" s="38"/>
      <c r="R814" s="38"/>
      <c r="U814" s="38"/>
      <c r="X814" s="38"/>
      <c r="AA814" s="38"/>
      <c r="AD814" s="38"/>
      <c r="AG814" s="38"/>
      <c r="AJ814" s="38"/>
      <c r="AM814" s="38"/>
      <c r="AP814" s="38"/>
    </row>
    <row r="815" spans="9:42" x14ac:dyDescent="0.2">
      <c r="I815" s="38"/>
      <c r="L815" s="38"/>
      <c r="O815" s="38"/>
      <c r="R815" s="38"/>
      <c r="U815" s="38"/>
      <c r="X815" s="38"/>
      <c r="AA815" s="38"/>
      <c r="AD815" s="38"/>
      <c r="AG815" s="38"/>
      <c r="AJ815" s="38"/>
      <c r="AM815" s="38"/>
      <c r="AP815" s="38"/>
    </row>
    <row r="816" spans="9:42" x14ac:dyDescent="0.2">
      <c r="I816" s="38"/>
      <c r="L816" s="38"/>
      <c r="O816" s="38"/>
      <c r="R816" s="38"/>
      <c r="U816" s="38"/>
      <c r="X816" s="38"/>
      <c r="AA816" s="38"/>
      <c r="AD816" s="38"/>
      <c r="AG816" s="38"/>
      <c r="AJ816" s="38"/>
      <c r="AM816" s="38"/>
      <c r="AP816" s="38"/>
    </row>
    <row r="817" spans="9:42" x14ac:dyDescent="0.2">
      <c r="I817" s="38"/>
      <c r="L817" s="38"/>
      <c r="O817" s="38"/>
      <c r="R817" s="38"/>
      <c r="U817" s="38"/>
      <c r="X817" s="38"/>
      <c r="AA817" s="38"/>
      <c r="AD817" s="38"/>
      <c r="AG817" s="38"/>
      <c r="AJ817" s="38"/>
      <c r="AM817" s="38"/>
      <c r="AP817" s="38"/>
    </row>
    <row r="818" spans="9:42" x14ac:dyDescent="0.2">
      <c r="I818" s="38"/>
      <c r="L818" s="38"/>
      <c r="O818" s="38"/>
      <c r="R818" s="38"/>
      <c r="U818" s="38"/>
      <c r="X818" s="38"/>
      <c r="AA818" s="38"/>
      <c r="AD818" s="38"/>
      <c r="AG818" s="38"/>
      <c r="AJ818" s="38"/>
      <c r="AM818" s="38"/>
      <c r="AP818" s="38"/>
    </row>
    <row r="819" spans="9:42" x14ac:dyDescent="0.2">
      <c r="I819" s="38"/>
      <c r="L819" s="38"/>
      <c r="O819" s="38"/>
      <c r="R819" s="38"/>
      <c r="U819" s="38"/>
      <c r="X819" s="38"/>
      <c r="AA819" s="38"/>
      <c r="AD819" s="38"/>
      <c r="AG819" s="38"/>
      <c r="AJ819" s="38"/>
      <c r="AM819" s="38"/>
      <c r="AP819" s="38"/>
    </row>
    <row r="820" spans="9:42" x14ac:dyDescent="0.2">
      <c r="I820" s="38"/>
      <c r="L820" s="38"/>
      <c r="O820" s="38"/>
      <c r="R820" s="38"/>
      <c r="U820" s="38"/>
      <c r="X820" s="38"/>
      <c r="AA820" s="38"/>
      <c r="AD820" s="38"/>
      <c r="AG820" s="38"/>
      <c r="AJ820" s="38"/>
      <c r="AM820" s="38"/>
      <c r="AP820" s="38"/>
    </row>
    <row r="821" spans="9:42" x14ac:dyDescent="0.2">
      <c r="I821" s="38"/>
      <c r="L821" s="38"/>
      <c r="O821" s="38"/>
      <c r="R821" s="38"/>
      <c r="U821" s="38"/>
      <c r="X821" s="38"/>
      <c r="AA821" s="38"/>
      <c r="AD821" s="38"/>
      <c r="AG821" s="38"/>
      <c r="AJ821" s="38"/>
      <c r="AM821" s="38"/>
      <c r="AP821" s="38"/>
    </row>
    <row r="822" spans="9:42" x14ac:dyDescent="0.2">
      <c r="I822" s="38"/>
      <c r="L822" s="38"/>
      <c r="O822" s="38"/>
      <c r="R822" s="38"/>
      <c r="U822" s="38"/>
      <c r="X822" s="38"/>
      <c r="AA822" s="38"/>
      <c r="AD822" s="38"/>
      <c r="AG822" s="38"/>
      <c r="AJ822" s="38"/>
      <c r="AM822" s="38"/>
      <c r="AP822" s="38"/>
    </row>
    <row r="823" spans="9:42" x14ac:dyDescent="0.2">
      <c r="I823" s="38"/>
      <c r="L823" s="38"/>
      <c r="O823" s="38"/>
      <c r="R823" s="38"/>
      <c r="U823" s="38"/>
      <c r="X823" s="38"/>
      <c r="AA823" s="38"/>
      <c r="AD823" s="38"/>
      <c r="AG823" s="38"/>
      <c r="AJ823" s="38"/>
      <c r="AM823" s="38"/>
      <c r="AP823" s="38"/>
    </row>
    <row r="824" spans="9:42" x14ac:dyDescent="0.2">
      <c r="I824" s="38"/>
      <c r="L824" s="38"/>
      <c r="O824" s="38"/>
      <c r="R824" s="38"/>
      <c r="U824" s="38"/>
      <c r="X824" s="38"/>
      <c r="AA824" s="38"/>
      <c r="AD824" s="38"/>
      <c r="AG824" s="38"/>
      <c r="AJ824" s="38"/>
      <c r="AM824" s="38"/>
      <c r="AP824" s="38"/>
    </row>
    <row r="825" spans="9:42" x14ac:dyDescent="0.2">
      <c r="I825" s="38"/>
      <c r="L825" s="38"/>
      <c r="O825" s="38"/>
      <c r="R825" s="38"/>
      <c r="U825" s="38"/>
      <c r="X825" s="38"/>
      <c r="AA825" s="38"/>
      <c r="AD825" s="38"/>
      <c r="AG825" s="38"/>
      <c r="AJ825" s="38"/>
      <c r="AM825" s="38"/>
      <c r="AP825" s="38"/>
    </row>
    <row r="826" spans="9:42" x14ac:dyDescent="0.2">
      <c r="I826" s="38"/>
      <c r="L826" s="38"/>
      <c r="O826" s="38"/>
      <c r="R826" s="38"/>
      <c r="U826" s="38"/>
      <c r="X826" s="38"/>
      <c r="AA826" s="38"/>
      <c r="AD826" s="38"/>
      <c r="AG826" s="38"/>
      <c r="AJ826" s="38"/>
      <c r="AM826" s="38"/>
      <c r="AP826" s="38"/>
    </row>
    <row r="827" spans="9:42" x14ac:dyDescent="0.2">
      <c r="I827" s="38"/>
      <c r="L827" s="38"/>
      <c r="O827" s="38"/>
      <c r="R827" s="38"/>
      <c r="U827" s="38"/>
      <c r="X827" s="38"/>
      <c r="AA827" s="38"/>
      <c r="AD827" s="38"/>
      <c r="AG827" s="38"/>
      <c r="AJ827" s="38"/>
      <c r="AM827" s="38"/>
      <c r="AP827" s="38"/>
    </row>
    <row r="828" spans="9:42" x14ac:dyDescent="0.2">
      <c r="I828" s="38"/>
      <c r="L828" s="38"/>
      <c r="O828" s="38"/>
      <c r="R828" s="38"/>
      <c r="U828" s="38"/>
      <c r="X828" s="38"/>
      <c r="AA828" s="38"/>
      <c r="AD828" s="38"/>
      <c r="AG828" s="38"/>
      <c r="AJ828" s="38"/>
      <c r="AM828" s="38"/>
      <c r="AP828" s="38"/>
    </row>
    <row r="829" spans="9:42" x14ac:dyDescent="0.2">
      <c r="I829" s="38"/>
      <c r="L829" s="38"/>
      <c r="O829" s="38"/>
      <c r="R829" s="38"/>
      <c r="U829" s="38"/>
      <c r="X829" s="38"/>
      <c r="AA829" s="38"/>
      <c r="AD829" s="38"/>
      <c r="AG829" s="38"/>
      <c r="AJ829" s="38"/>
      <c r="AM829" s="38"/>
      <c r="AP829" s="38"/>
    </row>
    <row r="830" spans="9:42" x14ac:dyDescent="0.2">
      <c r="I830" s="38"/>
      <c r="L830" s="38"/>
      <c r="O830" s="38"/>
      <c r="R830" s="38"/>
      <c r="U830" s="38"/>
      <c r="X830" s="38"/>
      <c r="AA830" s="38"/>
      <c r="AD830" s="38"/>
      <c r="AG830" s="38"/>
      <c r="AJ830" s="38"/>
      <c r="AM830" s="38"/>
      <c r="AP830" s="38"/>
    </row>
    <row r="831" spans="9:42" x14ac:dyDescent="0.2">
      <c r="I831" s="38"/>
      <c r="L831" s="38"/>
      <c r="O831" s="38"/>
      <c r="R831" s="38"/>
      <c r="U831" s="38"/>
      <c r="X831" s="38"/>
      <c r="AA831" s="38"/>
      <c r="AD831" s="38"/>
      <c r="AG831" s="38"/>
      <c r="AJ831" s="38"/>
      <c r="AM831" s="38"/>
      <c r="AP831" s="38"/>
    </row>
    <row r="832" spans="9:42" x14ac:dyDescent="0.2">
      <c r="I832" s="38"/>
      <c r="L832" s="38"/>
      <c r="O832" s="38"/>
      <c r="R832" s="38"/>
      <c r="U832" s="38"/>
      <c r="X832" s="38"/>
      <c r="AA832" s="38"/>
      <c r="AD832" s="38"/>
      <c r="AG832" s="38"/>
      <c r="AJ832" s="38"/>
      <c r="AM832" s="38"/>
      <c r="AP832" s="38"/>
    </row>
    <row r="833" spans="9:42" x14ac:dyDescent="0.2">
      <c r="I833" s="38"/>
      <c r="L833" s="38"/>
      <c r="O833" s="38"/>
      <c r="R833" s="38"/>
      <c r="U833" s="38"/>
      <c r="X833" s="38"/>
      <c r="AA833" s="38"/>
      <c r="AD833" s="38"/>
      <c r="AG833" s="38"/>
      <c r="AJ833" s="38"/>
      <c r="AM833" s="38"/>
      <c r="AP833" s="38"/>
    </row>
    <row r="834" spans="9:42" x14ac:dyDescent="0.2">
      <c r="I834" s="38"/>
      <c r="L834" s="38"/>
      <c r="O834" s="38"/>
      <c r="R834" s="38"/>
      <c r="U834" s="38"/>
      <c r="X834" s="38"/>
      <c r="AA834" s="38"/>
      <c r="AD834" s="38"/>
      <c r="AG834" s="38"/>
      <c r="AJ834" s="38"/>
      <c r="AM834" s="38"/>
      <c r="AP834" s="38"/>
    </row>
    <row r="835" spans="9:42" x14ac:dyDescent="0.2">
      <c r="I835" s="38"/>
      <c r="L835" s="38"/>
      <c r="O835" s="38"/>
      <c r="R835" s="38"/>
      <c r="U835" s="38"/>
      <c r="X835" s="38"/>
      <c r="AA835" s="38"/>
      <c r="AD835" s="38"/>
      <c r="AG835" s="38"/>
      <c r="AJ835" s="38"/>
      <c r="AM835" s="38"/>
      <c r="AP835" s="38"/>
    </row>
    <row r="836" spans="9:42" x14ac:dyDescent="0.2">
      <c r="I836" s="38"/>
      <c r="L836" s="38"/>
      <c r="O836" s="38"/>
      <c r="R836" s="38"/>
      <c r="U836" s="38"/>
      <c r="X836" s="38"/>
      <c r="AA836" s="38"/>
      <c r="AD836" s="38"/>
      <c r="AG836" s="38"/>
      <c r="AJ836" s="38"/>
      <c r="AM836" s="38"/>
      <c r="AP836" s="38"/>
    </row>
    <row r="837" spans="9:42" x14ac:dyDescent="0.2">
      <c r="I837" s="38"/>
      <c r="L837" s="38"/>
      <c r="O837" s="38"/>
      <c r="R837" s="38"/>
      <c r="U837" s="38"/>
      <c r="X837" s="38"/>
      <c r="AA837" s="38"/>
      <c r="AD837" s="38"/>
      <c r="AG837" s="38"/>
      <c r="AJ837" s="38"/>
      <c r="AM837" s="38"/>
      <c r="AP837" s="38"/>
    </row>
    <row r="838" spans="9:42" x14ac:dyDescent="0.2">
      <c r="I838" s="38"/>
      <c r="L838" s="38"/>
      <c r="O838" s="38"/>
      <c r="R838" s="38"/>
      <c r="U838" s="38"/>
      <c r="X838" s="38"/>
      <c r="AA838" s="38"/>
      <c r="AD838" s="38"/>
      <c r="AG838" s="38"/>
      <c r="AJ838" s="38"/>
      <c r="AM838" s="38"/>
      <c r="AP838" s="38"/>
    </row>
    <row r="839" spans="9:42" x14ac:dyDescent="0.2">
      <c r="I839" s="38"/>
      <c r="L839" s="38"/>
      <c r="O839" s="38"/>
      <c r="R839" s="38"/>
      <c r="U839" s="38"/>
      <c r="X839" s="38"/>
      <c r="AA839" s="38"/>
      <c r="AD839" s="38"/>
      <c r="AG839" s="38"/>
      <c r="AJ839" s="38"/>
      <c r="AM839" s="38"/>
      <c r="AP839" s="38"/>
    </row>
    <row r="840" spans="9:42" x14ac:dyDescent="0.2">
      <c r="I840" s="38"/>
      <c r="L840" s="38"/>
      <c r="O840" s="38"/>
      <c r="R840" s="38"/>
      <c r="U840" s="38"/>
      <c r="X840" s="38"/>
      <c r="AA840" s="38"/>
      <c r="AD840" s="38"/>
      <c r="AG840" s="38"/>
      <c r="AJ840" s="38"/>
      <c r="AM840" s="38"/>
      <c r="AP840" s="38"/>
    </row>
    <row r="841" spans="9:42" x14ac:dyDescent="0.2">
      <c r="I841" s="38"/>
      <c r="L841" s="38"/>
      <c r="O841" s="38"/>
      <c r="R841" s="38"/>
      <c r="U841" s="38"/>
      <c r="X841" s="38"/>
      <c r="AA841" s="38"/>
      <c r="AD841" s="38"/>
      <c r="AG841" s="38"/>
      <c r="AJ841" s="38"/>
      <c r="AM841" s="38"/>
      <c r="AP841" s="38"/>
    </row>
    <row r="842" spans="9:42" x14ac:dyDescent="0.2">
      <c r="I842" s="38"/>
      <c r="L842" s="38"/>
      <c r="O842" s="38"/>
      <c r="R842" s="38"/>
      <c r="U842" s="38"/>
      <c r="X842" s="38"/>
      <c r="AA842" s="38"/>
      <c r="AD842" s="38"/>
      <c r="AG842" s="38"/>
      <c r="AJ842" s="38"/>
      <c r="AM842" s="38"/>
      <c r="AP842" s="38"/>
    </row>
    <row r="843" spans="9:42" x14ac:dyDescent="0.2">
      <c r="I843" s="38"/>
      <c r="L843" s="38"/>
      <c r="O843" s="38"/>
      <c r="R843" s="38"/>
      <c r="U843" s="38"/>
      <c r="X843" s="38"/>
      <c r="AA843" s="38"/>
      <c r="AD843" s="38"/>
      <c r="AG843" s="38"/>
      <c r="AJ843" s="38"/>
      <c r="AM843" s="38"/>
      <c r="AP843" s="38"/>
    </row>
    <row r="844" spans="9:42" x14ac:dyDescent="0.2">
      <c r="I844" s="38"/>
      <c r="L844" s="38"/>
      <c r="O844" s="38"/>
      <c r="R844" s="38"/>
      <c r="U844" s="38"/>
      <c r="X844" s="38"/>
      <c r="AA844" s="38"/>
      <c r="AD844" s="38"/>
      <c r="AG844" s="38"/>
      <c r="AJ844" s="38"/>
      <c r="AM844" s="38"/>
      <c r="AP844" s="38"/>
    </row>
    <row r="845" spans="9:42" x14ac:dyDescent="0.2">
      <c r="I845" s="38"/>
      <c r="L845" s="38"/>
      <c r="O845" s="38"/>
      <c r="R845" s="38"/>
      <c r="U845" s="38"/>
      <c r="X845" s="38"/>
      <c r="AA845" s="38"/>
      <c r="AD845" s="38"/>
      <c r="AG845" s="38"/>
      <c r="AJ845" s="38"/>
      <c r="AM845" s="38"/>
      <c r="AP845" s="38"/>
    </row>
    <row r="846" spans="9:42" x14ac:dyDescent="0.2">
      <c r="I846" s="38"/>
      <c r="L846" s="38"/>
      <c r="O846" s="38"/>
      <c r="R846" s="38"/>
      <c r="U846" s="38"/>
      <c r="X846" s="38"/>
      <c r="AA846" s="38"/>
      <c r="AD846" s="38"/>
      <c r="AG846" s="38"/>
      <c r="AJ846" s="38"/>
      <c r="AM846" s="38"/>
      <c r="AP846" s="38"/>
    </row>
    <row r="847" spans="9:42" x14ac:dyDescent="0.2">
      <c r="I847" s="38"/>
      <c r="L847" s="38"/>
      <c r="O847" s="38"/>
      <c r="R847" s="38"/>
      <c r="U847" s="38"/>
      <c r="X847" s="38"/>
      <c r="AA847" s="38"/>
      <c r="AD847" s="38"/>
      <c r="AG847" s="38"/>
      <c r="AJ847" s="38"/>
      <c r="AM847" s="38"/>
      <c r="AP847" s="38"/>
    </row>
    <row r="848" spans="9:42" x14ac:dyDescent="0.2">
      <c r="I848" s="38"/>
      <c r="L848" s="38"/>
      <c r="O848" s="38"/>
      <c r="R848" s="38"/>
      <c r="U848" s="38"/>
      <c r="X848" s="38"/>
      <c r="AA848" s="38"/>
      <c r="AD848" s="38"/>
      <c r="AG848" s="38"/>
      <c r="AJ848" s="38"/>
      <c r="AM848" s="38"/>
      <c r="AP848" s="38"/>
    </row>
    <row r="849" spans="9:42" x14ac:dyDescent="0.2">
      <c r="I849" s="38"/>
      <c r="L849" s="38"/>
      <c r="O849" s="38"/>
      <c r="R849" s="38"/>
      <c r="U849" s="38"/>
      <c r="X849" s="38"/>
      <c r="AA849" s="38"/>
      <c r="AD849" s="38"/>
      <c r="AG849" s="38"/>
      <c r="AJ849" s="38"/>
      <c r="AM849" s="38"/>
      <c r="AP849" s="38"/>
    </row>
    <row r="850" spans="9:42" x14ac:dyDescent="0.2">
      <c r="I850" s="38"/>
      <c r="L850" s="38"/>
      <c r="O850" s="38"/>
      <c r="R850" s="38"/>
      <c r="U850" s="38"/>
      <c r="X850" s="38"/>
      <c r="AA850" s="38"/>
      <c r="AD850" s="38"/>
      <c r="AG850" s="38"/>
      <c r="AJ850" s="38"/>
      <c r="AM850" s="38"/>
      <c r="AP850" s="38"/>
    </row>
    <row r="851" spans="9:42" x14ac:dyDescent="0.2">
      <c r="I851" s="38"/>
      <c r="L851" s="38"/>
      <c r="O851" s="38"/>
      <c r="R851" s="38"/>
      <c r="U851" s="38"/>
      <c r="X851" s="38"/>
      <c r="AA851" s="38"/>
      <c r="AD851" s="38"/>
      <c r="AG851" s="38"/>
      <c r="AJ851" s="38"/>
      <c r="AM851" s="38"/>
      <c r="AP851" s="38"/>
    </row>
    <row r="852" spans="9:42" x14ac:dyDescent="0.2">
      <c r="I852" s="38"/>
      <c r="L852" s="38"/>
      <c r="O852" s="38"/>
      <c r="R852" s="38"/>
      <c r="U852" s="38"/>
      <c r="X852" s="38"/>
      <c r="AA852" s="38"/>
      <c r="AD852" s="38"/>
      <c r="AG852" s="38"/>
      <c r="AJ852" s="38"/>
      <c r="AM852" s="38"/>
      <c r="AP852" s="38"/>
    </row>
    <row r="853" spans="9:42" x14ac:dyDescent="0.2">
      <c r="I853" s="38"/>
      <c r="L853" s="38"/>
      <c r="O853" s="38"/>
      <c r="R853" s="38"/>
      <c r="U853" s="38"/>
      <c r="X853" s="38"/>
      <c r="AA853" s="38"/>
      <c r="AD853" s="38"/>
      <c r="AG853" s="38"/>
      <c r="AJ853" s="38"/>
      <c r="AM853" s="38"/>
      <c r="AP853" s="38"/>
    </row>
    <row r="854" spans="9:42" x14ac:dyDescent="0.2">
      <c r="I854" s="38"/>
      <c r="L854" s="38"/>
      <c r="O854" s="38"/>
      <c r="R854" s="38"/>
      <c r="U854" s="38"/>
      <c r="X854" s="38"/>
      <c r="AA854" s="38"/>
      <c r="AD854" s="38"/>
      <c r="AG854" s="38"/>
      <c r="AJ854" s="38"/>
      <c r="AM854" s="38"/>
      <c r="AP854" s="38"/>
    </row>
    <row r="855" spans="9:42" x14ac:dyDescent="0.2">
      <c r="I855" s="38"/>
      <c r="L855" s="38"/>
      <c r="O855" s="38"/>
      <c r="R855" s="38"/>
      <c r="U855" s="38"/>
      <c r="X855" s="38"/>
      <c r="AA855" s="38"/>
      <c r="AD855" s="38"/>
      <c r="AG855" s="38"/>
      <c r="AJ855" s="38"/>
      <c r="AM855" s="38"/>
      <c r="AP855" s="38"/>
    </row>
    <row r="856" spans="9:42" x14ac:dyDescent="0.2">
      <c r="I856" s="38"/>
      <c r="L856" s="38"/>
      <c r="O856" s="38"/>
      <c r="R856" s="38"/>
      <c r="U856" s="38"/>
      <c r="X856" s="38"/>
      <c r="AA856" s="38"/>
      <c r="AD856" s="38"/>
      <c r="AG856" s="38"/>
      <c r="AJ856" s="38"/>
      <c r="AM856" s="38"/>
      <c r="AP856" s="38"/>
    </row>
    <row r="857" spans="9:42" x14ac:dyDescent="0.2">
      <c r="I857" s="38"/>
      <c r="L857" s="38"/>
      <c r="O857" s="38"/>
      <c r="R857" s="38"/>
      <c r="U857" s="38"/>
      <c r="X857" s="38"/>
      <c r="AA857" s="38"/>
      <c r="AD857" s="38"/>
      <c r="AG857" s="38"/>
      <c r="AJ857" s="38"/>
      <c r="AM857" s="38"/>
      <c r="AP857" s="38"/>
    </row>
    <row r="858" spans="9:42" x14ac:dyDescent="0.2">
      <c r="I858" s="38"/>
      <c r="L858" s="38"/>
      <c r="O858" s="38"/>
      <c r="R858" s="38"/>
      <c r="U858" s="38"/>
      <c r="X858" s="38"/>
      <c r="AA858" s="38"/>
      <c r="AD858" s="38"/>
      <c r="AG858" s="38"/>
      <c r="AJ858" s="38"/>
      <c r="AM858" s="38"/>
      <c r="AP858" s="38"/>
    </row>
    <row r="859" spans="9:42" x14ac:dyDescent="0.2">
      <c r="I859" s="38"/>
      <c r="L859" s="38"/>
      <c r="O859" s="38"/>
      <c r="R859" s="38"/>
      <c r="U859" s="38"/>
      <c r="X859" s="38"/>
      <c r="AA859" s="38"/>
      <c r="AD859" s="38"/>
      <c r="AG859" s="38"/>
      <c r="AJ859" s="38"/>
      <c r="AM859" s="38"/>
      <c r="AP859" s="38"/>
    </row>
    <row r="860" spans="9:42" x14ac:dyDescent="0.2">
      <c r="I860" s="38"/>
      <c r="L860" s="38"/>
      <c r="O860" s="38"/>
      <c r="R860" s="38"/>
      <c r="U860" s="38"/>
      <c r="X860" s="38"/>
      <c r="AA860" s="38"/>
      <c r="AD860" s="38"/>
      <c r="AG860" s="38"/>
      <c r="AJ860" s="38"/>
      <c r="AM860" s="38"/>
      <c r="AP860" s="38"/>
    </row>
    <row r="861" spans="9:42" x14ac:dyDescent="0.2">
      <c r="I861" s="38"/>
      <c r="L861" s="38"/>
      <c r="O861" s="38"/>
      <c r="R861" s="38"/>
      <c r="U861" s="38"/>
      <c r="X861" s="38"/>
      <c r="AA861" s="38"/>
      <c r="AD861" s="38"/>
      <c r="AG861" s="38"/>
      <c r="AJ861" s="38"/>
      <c r="AM861" s="38"/>
      <c r="AP861" s="38"/>
    </row>
    <row r="862" spans="9:42" x14ac:dyDescent="0.2">
      <c r="I862" s="38"/>
      <c r="L862" s="38"/>
      <c r="O862" s="38"/>
      <c r="R862" s="38"/>
      <c r="U862" s="38"/>
      <c r="X862" s="38"/>
      <c r="AA862" s="38"/>
      <c r="AD862" s="38"/>
      <c r="AG862" s="38"/>
      <c r="AJ862" s="38"/>
      <c r="AM862" s="38"/>
      <c r="AP862" s="38"/>
    </row>
    <row r="863" spans="9:42" x14ac:dyDescent="0.2">
      <c r="I863" s="38"/>
      <c r="L863" s="38"/>
      <c r="O863" s="38"/>
      <c r="R863" s="38"/>
      <c r="U863" s="38"/>
      <c r="X863" s="38"/>
      <c r="AA863" s="38"/>
      <c r="AD863" s="38"/>
      <c r="AG863" s="38"/>
      <c r="AJ863" s="38"/>
      <c r="AM863" s="38"/>
      <c r="AP863" s="38"/>
    </row>
    <row r="864" spans="9:42" x14ac:dyDescent="0.2">
      <c r="I864" s="38"/>
      <c r="L864" s="38"/>
      <c r="O864" s="38"/>
      <c r="R864" s="38"/>
      <c r="U864" s="38"/>
      <c r="X864" s="38"/>
      <c r="AA864" s="38"/>
      <c r="AD864" s="38"/>
      <c r="AG864" s="38"/>
      <c r="AJ864" s="38"/>
      <c r="AM864" s="38"/>
      <c r="AP864" s="38"/>
    </row>
    <row r="865" spans="9:42" x14ac:dyDescent="0.2">
      <c r="I865" s="38"/>
      <c r="L865" s="38"/>
      <c r="O865" s="38"/>
      <c r="R865" s="38"/>
      <c r="U865" s="38"/>
      <c r="X865" s="38"/>
      <c r="AA865" s="38"/>
      <c r="AD865" s="38"/>
      <c r="AG865" s="38"/>
      <c r="AJ865" s="38"/>
      <c r="AM865" s="38"/>
      <c r="AP865" s="38"/>
    </row>
    <row r="866" spans="9:42" x14ac:dyDescent="0.2">
      <c r="I866" s="38"/>
      <c r="L866" s="38"/>
      <c r="O866" s="38"/>
      <c r="R866" s="38"/>
      <c r="U866" s="38"/>
      <c r="X866" s="38"/>
      <c r="AA866" s="38"/>
      <c r="AD866" s="38"/>
      <c r="AG866" s="38"/>
      <c r="AJ866" s="38"/>
      <c r="AM866" s="38"/>
      <c r="AP866" s="38"/>
    </row>
    <row r="867" spans="9:42" x14ac:dyDescent="0.2">
      <c r="I867" s="38"/>
      <c r="L867" s="38"/>
      <c r="O867" s="38"/>
      <c r="R867" s="38"/>
      <c r="U867" s="38"/>
      <c r="X867" s="38"/>
      <c r="AA867" s="38"/>
      <c r="AD867" s="38"/>
      <c r="AG867" s="38"/>
      <c r="AJ867" s="38"/>
      <c r="AM867" s="38"/>
      <c r="AP867" s="38"/>
    </row>
    <row r="868" spans="9:42" x14ac:dyDescent="0.2">
      <c r="I868" s="38"/>
      <c r="L868" s="38"/>
      <c r="O868" s="38"/>
      <c r="R868" s="38"/>
      <c r="U868" s="38"/>
      <c r="X868" s="38"/>
      <c r="AA868" s="38"/>
      <c r="AD868" s="38"/>
      <c r="AG868" s="38"/>
      <c r="AJ868" s="38"/>
      <c r="AM868" s="38"/>
      <c r="AP868" s="38"/>
    </row>
    <row r="869" spans="9:42" x14ac:dyDescent="0.2">
      <c r="I869" s="38"/>
      <c r="L869" s="38"/>
      <c r="O869" s="38"/>
      <c r="R869" s="38"/>
      <c r="U869" s="38"/>
      <c r="X869" s="38"/>
      <c r="AA869" s="38"/>
      <c r="AD869" s="38"/>
      <c r="AG869" s="38"/>
      <c r="AJ869" s="38"/>
      <c r="AM869" s="38"/>
      <c r="AP869" s="38"/>
    </row>
    <row r="870" spans="9:42" x14ac:dyDescent="0.2">
      <c r="I870" s="38"/>
      <c r="L870" s="38"/>
      <c r="O870" s="38"/>
      <c r="R870" s="38"/>
      <c r="U870" s="38"/>
      <c r="X870" s="38"/>
      <c r="AA870" s="38"/>
      <c r="AD870" s="38"/>
      <c r="AG870" s="38"/>
      <c r="AJ870" s="38"/>
      <c r="AM870" s="38"/>
      <c r="AP870" s="38"/>
    </row>
    <row r="871" spans="9:42" x14ac:dyDescent="0.2">
      <c r="I871" s="38"/>
      <c r="L871" s="38"/>
      <c r="O871" s="38"/>
      <c r="R871" s="38"/>
      <c r="U871" s="38"/>
      <c r="X871" s="38"/>
      <c r="AA871" s="38"/>
      <c r="AD871" s="38"/>
      <c r="AG871" s="38"/>
      <c r="AJ871" s="38"/>
      <c r="AM871" s="38"/>
      <c r="AP871" s="38"/>
    </row>
    <row r="872" spans="9:42" x14ac:dyDescent="0.2">
      <c r="I872" s="38"/>
      <c r="L872" s="38"/>
      <c r="O872" s="38"/>
      <c r="R872" s="38"/>
      <c r="U872" s="38"/>
      <c r="X872" s="38"/>
      <c r="AA872" s="38"/>
      <c r="AD872" s="38"/>
      <c r="AG872" s="38"/>
      <c r="AJ872" s="38"/>
      <c r="AM872" s="38"/>
      <c r="AP872" s="38"/>
    </row>
    <row r="873" spans="9:42" x14ac:dyDescent="0.2">
      <c r="I873" s="38"/>
      <c r="L873" s="38"/>
      <c r="O873" s="38"/>
      <c r="R873" s="38"/>
      <c r="U873" s="38"/>
      <c r="X873" s="38"/>
      <c r="AA873" s="38"/>
      <c r="AD873" s="38"/>
      <c r="AG873" s="38"/>
      <c r="AJ873" s="38"/>
      <c r="AM873" s="38"/>
      <c r="AP873" s="38"/>
    </row>
    <row r="874" spans="9:42" x14ac:dyDescent="0.2">
      <c r="I874" s="38"/>
      <c r="L874" s="38"/>
      <c r="O874" s="38"/>
      <c r="R874" s="38"/>
      <c r="U874" s="38"/>
      <c r="X874" s="38"/>
      <c r="AA874" s="38"/>
      <c r="AD874" s="38"/>
      <c r="AG874" s="38"/>
      <c r="AJ874" s="38"/>
      <c r="AM874" s="38"/>
      <c r="AP874" s="38"/>
    </row>
    <row r="875" spans="9:42" x14ac:dyDescent="0.2">
      <c r="I875" s="38"/>
      <c r="L875" s="38"/>
      <c r="O875" s="38"/>
      <c r="R875" s="38"/>
      <c r="U875" s="38"/>
      <c r="X875" s="38"/>
      <c r="AA875" s="38"/>
      <c r="AD875" s="38"/>
      <c r="AG875" s="38"/>
      <c r="AJ875" s="38"/>
      <c r="AM875" s="38"/>
      <c r="AP875" s="38"/>
    </row>
    <row r="876" spans="9:42" x14ac:dyDescent="0.2">
      <c r="I876" s="38"/>
      <c r="L876" s="38"/>
      <c r="O876" s="38"/>
      <c r="R876" s="38"/>
      <c r="U876" s="38"/>
      <c r="X876" s="38"/>
      <c r="AA876" s="38"/>
      <c r="AD876" s="38"/>
      <c r="AG876" s="38"/>
      <c r="AJ876" s="38"/>
      <c r="AM876" s="38"/>
      <c r="AP876" s="38"/>
    </row>
    <row r="877" spans="9:42" x14ac:dyDescent="0.2">
      <c r="I877" s="38"/>
      <c r="L877" s="38"/>
      <c r="O877" s="38"/>
      <c r="R877" s="38"/>
      <c r="U877" s="38"/>
      <c r="X877" s="38"/>
      <c r="AA877" s="38"/>
      <c r="AD877" s="38"/>
      <c r="AG877" s="38"/>
      <c r="AJ877" s="38"/>
      <c r="AM877" s="38"/>
      <c r="AP877" s="38"/>
    </row>
    <row r="878" spans="9:42" x14ac:dyDescent="0.2">
      <c r="I878" s="38"/>
      <c r="L878" s="38"/>
      <c r="O878" s="38"/>
      <c r="R878" s="38"/>
      <c r="U878" s="38"/>
      <c r="X878" s="38"/>
      <c r="AA878" s="38"/>
      <c r="AD878" s="38"/>
      <c r="AG878" s="38"/>
      <c r="AJ878" s="38"/>
      <c r="AM878" s="38"/>
      <c r="AP878" s="38"/>
    </row>
    <row r="879" spans="9:42" x14ac:dyDescent="0.2">
      <c r="I879" s="38"/>
      <c r="L879" s="38"/>
      <c r="O879" s="38"/>
      <c r="R879" s="38"/>
      <c r="U879" s="38"/>
      <c r="X879" s="38"/>
      <c r="AA879" s="38"/>
      <c r="AD879" s="38"/>
      <c r="AG879" s="38"/>
      <c r="AJ879" s="38"/>
      <c r="AM879" s="38"/>
      <c r="AP879" s="38"/>
    </row>
    <row r="880" spans="9:42" x14ac:dyDescent="0.2">
      <c r="I880" s="38"/>
      <c r="L880" s="38"/>
      <c r="O880" s="38"/>
      <c r="R880" s="38"/>
      <c r="U880" s="38"/>
      <c r="X880" s="38"/>
      <c r="AA880" s="38"/>
      <c r="AD880" s="38"/>
      <c r="AG880" s="38"/>
      <c r="AJ880" s="38"/>
      <c r="AM880" s="38"/>
      <c r="AP880" s="38"/>
    </row>
    <row r="881" spans="9:42" x14ac:dyDescent="0.2">
      <c r="I881" s="38"/>
      <c r="L881" s="38"/>
      <c r="O881" s="38"/>
      <c r="R881" s="38"/>
      <c r="U881" s="38"/>
      <c r="X881" s="38"/>
      <c r="AA881" s="38"/>
      <c r="AD881" s="38"/>
      <c r="AG881" s="38"/>
      <c r="AJ881" s="38"/>
      <c r="AM881" s="38"/>
      <c r="AP881" s="38"/>
    </row>
    <row r="882" spans="9:42" x14ac:dyDescent="0.2">
      <c r="I882" s="38"/>
      <c r="L882" s="38"/>
      <c r="O882" s="38"/>
      <c r="R882" s="38"/>
      <c r="U882" s="38"/>
      <c r="X882" s="38"/>
      <c r="AA882" s="38"/>
      <c r="AD882" s="38"/>
      <c r="AG882" s="38"/>
      <c r="AJ882" s="38"/>
      <c r="AM882" s="38"/>
      <c r="AP882" s="38"/>
    </row>
    <row r="883" spans="9:42" x14ac:dyDescent="0.2">
      <c r="I883" s="38"/>
      <c r="L883" s="38"/>
      <c r="O883" s="38"/>
      <c r="R883" s="38"/>
      <c r="U883" s="38"/>
      <c r="X883" s="38"/>
      <c r="AA883" s="38"/>
      <c r="AD883" s="38"/>
      <c r="AG883" s="38"/>
      <c r="AJ883" s="38"/>
      <c r="AM883" s="38"/>
      <c r="AP883" s="38"/>
    </row>
    <row r="884" spans="9:42" x14ac:dyDescent="0.2">
      <c r="I884" s="38"/>
      <c r="L884" s="38"/>
      <c r="O884" s="38"/>
      <c r="R884" s="38"/>
      <c r="U884" s="38"/>
      <c r="X884" s="38"/>
      <c r="AA884" s="38"/>
      <c r="AD884" s="38"/>
      <c r="AG884" s="38"/>
      <c r="AJ884" s="38"/>
      <c r="AM884" s="38"/>
      <c r="AP884" s="38"/>
    </row>
    <row r="885" spans="9:42" x14ac:dyDescent="0.2">
      <c r="I885" s="38"/>
      <c r="L885" s="38"/>
      <c r="O885" s="38"/>
      <c r="R885" s="38"/>
      <c r="U885" s="38"/>
      <c r="X885" s="38"/>
      <c r="AA885" s="38"/>
      <c r="AD885" s="38"/>
      <c r="AG885" s="38"/>
      <c r="AJ885" s="38"/>
      <c r="AM885" s="38"/>
      <c r="AP885" s="38"/>
    </row>
    <row r="886" spans="9:42" x14ac:dyDescent="0.2">
      <c r="I886" s="38"/>
      <c r="L886" s="38"/>
      <c r="O886" s="38"/>
      <c r="R886" s="38"/>
      <c r="U886" s="38"/>
      <c r="X886" s="38"/>
      <c r="AA886" s="38"/>
      <c r="AD886" s="38"/>
      <c r="AG886" s="38"/>
      <c r="AJ886" s="38"/>
      <c r="AM886" s="38"/>
      <c r="AP886" s="38"/>
    </row>
    <row r="887" spans="9:42" x14ac:dyDescent="0.2">
      <c r="I887" s="38"/>
      <c r="L887" s="38"/>
      <c r="O887" s="38"/>
      <c r="R887" s="38"/>
      <c r="U887" s="38"/>
      <c r="X887" s="38"/>
      <c r="AA887" s="38"/>
      <c r="AD887" s="38"/>
      <c r="AG887" s="38"/>
      <c r="AJ887" s="38"/>
      <c r="AM887" s="38"/>
      <c r="AP887" s="38"/>
    </row>
    <row r="888" spans="9:42" x14ac:dyDescent="0.2">
      <c r="I888" s="38"/>
      <c r="L888" s="38"/>
      <c r="O888" s="38"/>
      <c r="R888" s="38"/>
      <c r="U888" s="38"/>
      <c r="X888" s="38"/>
      <c r="AA888" s="38"/>
      <c r="AD888" s="38"/>
      <c r="AG888" s="38"/>
      <c r="AJ888" s="38"/>
      <c r="AM888" s="38"/>
      <c r="AP888" s="38"/>
    </row>
    <row r="889" spans="9:42" x14ac:dyDescent="0.2">
      <c r="I889" s="38"/>
      <c r="L889" s="38"/>
      <c r="O889" s="38"/>
      <c r="R889" s="38"/>
      <c r="U889" s="38"/>
      <c r="X889" s="38"/>
      <c r="AA889" s="38"/>
      <c r="AD889" s="38"/>
      <c r="AG889" s="38"/>
      <c r="AJ889" s="38"/>
      <c r="AM889" s="38"/>
      <c r="AP889" s="38"/>
    </row>
    <row r="890" spans="9:42" x14ac:dyDescent="0.2">
      <c r="I890" s="38"/>
      <c r="L890" s="38"/>
      <c r="O890" s="38"/>
      <c r="R890" s="38"/>
      <c r="U890" s="38"/>
      <c r="X890" s="38"/>
      <c r="AA890" s="38"/>
      <c r="AD890" s="38"/>
      <c r="AG890" s="38"/>
      <c r="AJ890" s="38"/>
      <c r="AM890" s="38"/>
      <c r="AP890" s="38"/>
    </row>
    <row r="891" spans="9:42" x14ac:dyDescent="0.2">
      <c r="I891" s="38"/>
      <c r="L891" s="38"/>
      <c r="O891" s="38"/>
      <c r="R891" s="38"/>
      <c r="U891" s="38"/>
      <c r="X891" s="38"/>
      <c r="AA891" s="38"/>
      <c r="AD891" s="38"/>
      <c r="AG891" s="38"/>
      <c r="AJ891" s="38"/>
      <c r="AM891" s="38"/>
      <c r="AP891" s="38"/>
    </row>
    <row r="892" spans="9:42" x14ac:dyDescent="0.2">
      <c r="I892" s="38"/>
      <c r="L892" s="38"/>
      <c r="O892" s="38"/>
      <c r="R892" s="38"/>
      <c r="U892" s="38"/>
      <c r="X892" s="38"/>
      <c r="AA892" s="38"/>
      <c r="AD892" s="38"/>
      <c r="AG892" s="38"/>
      <c r="AJ892" s="38"/>
      <c r="AM892" s="38"/>
      <c r="AP892" s="38"/>
    </row>
    <row r="893" spans="9:42" x14ac:dyDescent="0.2">
      <c r="I893" s="38"/>
      <c r="L893" s="38"/>
      <c r="O893" s="38"/>
      <c r="R893" s="38"/>
      <c r="U893" s="38"/>
      <c r="X893" s="38"/>
      <c r="AA893" s="38"/>
      <c r="AD893" s="38"/>
      <c r="AG893" s="38"/>
      <c r="AJ893" s="38"/>
      <c r="AM893" s="38"/>
      <c r="AP893" s="38"/>
    </row>
    <row r="894" spans="9:42" x14ac:dyDescent="0.2">
      <c r="I894" s="38"/>
      <c r="L894" s="38"/>
      <c r="O894" s="38"/>
      <c r="R894" s="38"/>
      <c r="U894" s="38"/>
      <c r="X894" s="38"/>
      <c r="AA894" s="38"/>
      <c r="AD894" s="38"/>
      <c r="AG894" s="38"/>
      <c r="AJ894" s="38"/>
      <c r="AM894" s="38"/>
      <c r="AP894" s="38"/>
    </row>
    <row r="895" spans="9:42" x14ac:dyDescent="0.2">
      <c r="I895" s="38"/>
      <c r="L895" s="38"/>
      <c r="O895" s="38"/>
      <c r="R895" s="38"/>
      <c r="U895" s="38"/>
      <c r="X895" s="38"/>
      <c r="AA895" s="38"/>
      <c r="AD895" s="38"/>
      <c r="AG895" s="38"/>
      <c r="AJ895" s="38"/>
      <c r="AM895" s="38"/>
      <c r="AP895" s="38"/>
    </row>
    <row r="896" spans="9:42" x14ac:dyDescent="0.2">
      <c r="I896" s="38"/>
      <c r="L896" s="38"/>
      <c r="O896" s="38"/>
      <c r="R896" s="38"/>
      <c r="U896" s="38"/>
      <c r="X896" s="38"/>
      <c r="AA896" s="38"/>
      <c r="AD896" s="38"/>
      <c r="AG896" s="38"/>
      <c r="AJ896" s="38"/>
      <c r="AM896" s="38"/>
      <c r="AP896" s="38"/>
    </row>
    <row r="897" spans="9:42" x14ac:dyDescent="0.2">
      <c r="I897" s="38"/>
      <c r="L897" s="38"/>
      <c r="O897" s="38"/>
      <c r="R897" s="38"/>
      <c r="U897" s="38"/>
      <c r="X897" s="38"/>
      <c r="AA897" s="38"/>
      <c r="AD897" s="38"/>
      <c r="AG897" s="38"/>
      <c r="AJ897" s="38"/>
      <c r="AM897" s="38"/>
      <c r="AP897" s="38"/>
    </row>
    <row r="898" spans="9:42" x14ac:dyDescent="0.2">
      <c r="I898" s="38"/>
      <c r="L898" s="38"/>
      <c r="O898" s="38"/>
      <c r="R898" s="38"/>
      <c r="U898" s="38"/>
      <c r="X898" s="38"/>
      <c r="AA898" s="38"/>
      <c r="AD898" s="38"/>
      <c r="AG898" s="38"/>
      <c r="AJ898" s="38"/>
      <c r="AM898" s="38"/>
      <c r="AP898" s="38"/>
    </row>
    <row r="899" spans="9:42" x14ac:dyDescent="0.2">
      <c r="I899" s="38"/>
      <c r="L899" s="38"/>
      <c r="O899" s="38"/>
      <c r="R899" s="38"/>
      <c r="U899" s="38"/>
      <c r="X899" s="38"/>
      <c r="AA899" s="38"/>
      <c r="AD899" s="38"/>
      <c r="AG899" s="38"/>
      <c r="AJ899" s="38"/>
      <c r="AM899" s="38"/>
      <c r="AP899" s="38"/>
    </row>
    <row r="900" spans="9:42" x14ac:dyDescent="0.2">
      <c r="I900" s="38"/>
      <c r="L900" s="38"/>
      <c r="O900" s="38"/>
      <c r="R900" s="38"/>
      <c r="U900" s="38"/>
      <c r="X900" s="38"/>
      <c r="AA900" s="38"/>
      <c r="AD900" s="38"/>
      <c r="AG900" s="38"/>
      <c r="AJ900" s="38"/>
      <c r="AM900" s="38"/>
      <c r="AP900" s="38"/>
    </row>
    <row r="901" spans="9:42" x14ac:dyDescent="0.2">
      <c r="I901" s="38"/>
      <c r="L901" s="38"/>
      <c r="O901" s="38"/>
      <c r="R901" s="38"/>
      <c r="U901" s="38"/>
      <c r="X901" s="38"/>
      <c r="AA901" s="38"/>
      <c r="AD901" s="38"/>
      <c r="AG901" s="38"/>
      <c r="AJ901" s="38"/>
      <c r="AM901" s="38"/>
      <c r="AP901" s="38"/>
    </row>
    <row r="902" spans="9:42" x14ac:dyDescent="0.2">
      <c r="I902" s="38"/>
      <c r="L902" s="38"/>
      <c r="O902" s="38"/>
      <c r="R902" s="38"/>
      <c r="U902" s="38"/>
      <c r="X902" s="38"/>
      <c r="AA902" s="38"/>
      <c r="AD902" s="38"/>
      <c r="AG902" s="38"/>
      <c r="AJ902" s="38"/>
      <c r="AM902" s="38"/>
      <c r="AP902" s="38"/>
    </row>
    <row r="903" spans="9:42" x14ac:dyDescent="0.2">
      <c r="I903" s="38"/>
      <c r="L903" s="38"/>
      <c r="O903" s="38"/>
      <c r="R903" s="38"/>
      <c r="U903" s="38"/>
      <c r="X903" s="38"/>
      <c r="AA903" s="38"/>
      <c r="AD903" s="38"/>
      <c r="AG903" s="38"/>
      <c r="AJ903" s="38"/>
      <c r="AM903" s="38"/>
      <c r="AP903" s="38"/>
    </row>
    <row r="904" spans="9:42" x14ac:dyDescent="0.2">
      <c r="I904" s="38"/>
      <c r="L904" s="38"/>
      <c r="O904" s="38"/>
      <c r="R904" s="38"/>
      <c r="U904" s="38"/>
      <c r="X904" s="38"/>
      <c r="AA904" s="38"/>
      <c r="AD904" s="38"/>
      <c r="AG904" s="38"/>
      <c r="AJ904" s="38"/>
      <c r="AM904" s="38"/>
      <c r="AP904" s="38"/>
    </row>
    <row r="905" spans="9:42" x14ac:dyDescent="0.2">
      <c r="I905" s="38"/>
      <c r="L905" s="38"/>
      <c r="O905" s="38"/>
      <c r="R905" s="38"/>
      <c r="U905" s="38"/>
      <c r="X905" s="38"/>
      <c r="AA905" s="38"/>
      <c r="AD905" s="38"/>
      <c r="AG905" s="38"/>
      <c r="AJ905" s="38"/>
      <c r="AM905" s="38"/>
      <c r="AP905" s="38"/>
    </row>
    <row r="906" spans="9:42" x14ac:dyDescent="0.2">
      <c r="I906" s="38"/>
      <c r="L906" s="38"/>
      <c r="O906" s="38"/>
      <c r="R906" s="38"/>
      <c r="U906" s="38"/>
      <c r="X906" s="38"/>
      <c r="AA906" s="38"/>
      <c r="AD906" s="38"/>
      <c r="AG906" s="38"/>
      <c r="AJ906" s="38"/>
      <c r="AM906" s="38"/>
      <c r="AP906" s="38"/>
    </row>
    <row r="907" spans="9:42" x14ac:dyDescent="0.2">
      <c r="I907" s="38"/>
      <c r="L907" s="38"/>
      <c r="O907" s="38"/>
      <c r="R907" s="38"/>
      <c r="U907" s="38"/>
      <c r="X907" s="38"/>
      <c r="AA907" s="38"/>
      <c r="AD907" s="38"/>
      <c r="AG907" s="38"/>
      <c r="AJ907" s="38"/>
      <c r="AM907" s="38"/>
      <c r="AP907" s="38"/>
    </row>
    <row r="908" spans="9:42" x14ac:dyDescent="0.2">
      <c r="I908" s="38"/>
      <c r="L908" s="38"/>
      <c r="O908" s="38"/>
      <c r="R908" s="38"/>
      <c r="U908" s="38"/>
      <c r="X908" s="38"/>
      <c r="AA908" s="38"/>
      <c r="AD908" s="38"/>
      <c r="AG908" s="38"/>
      <c r="AJ908" s="38"/>
      <c r="AM908" s="38"/>
      <c r="AP908" s="38"/>
    </row>
    <row r="909" spans="9:42" x14ac:dyDescent="0.2">
      <c r="I909" s="38"/>
      <c r="L909" s="38"/>
      <c r="O909" s="38"/>
      <c r="R909" s="38"/>
      <c r="U909" s="38"/>
      <c r="X909" s="38"/>
      <c r="AA909" s="38"/>
      <c r="AD909" s="38"/>
      <c r="AG909" s="38"/>
      <c r="AJ909" s="38"/>
      <c r="AM909" s="38"/>
      <c r="AP909" s="38"/>
    </row>
    <row r="910" spans="9:42" x14ac:dyDescent="0.2">
      <c r="I910" s="38"/>
      <c r="L910" s="38"/>
      <c r="O910" s="38"/>
      <c r="R910" s="38"/>
      <c r="U910" s="38"/>
      <c r="X910" s="38"/>
      <c r="AA910" s="38"/>
      <c r="AD910" s="38"/>
      <c r="AG910" s="38"/>
      <c r="AJ910" s="38"/>
      <c r="AM910" s="38"/>
      <c r="AP910" s="38"/>
    </row>
    <row r="911" spans="9:42" x14ac:dyDescent="0.2">
      <c r="I911" s="38"/>
      <c r="L911" s="38"/>
      <c r="O911" s="38"/>
      <c r="R911" s="38"/>
      <c r="U911" s="38"/>
      <c r="X911" s="38"/>
      <c r="AA911" s="38"/>
      <c r="AD911" s="38"/>
      <c r="AG911" s="38"/>
      <c r="AJ911" s="38"/>
      <c r="AM911" s="38"/>
      <c r="AP911" s="38"/>
    </row>
    <row r="912" spans="9:42" x14ac:dyDescent="0.2">
      <c r="I912" s="38"/>
      <c r="L912" s="38"/>
      <c r="O912" s="38"/>
      <c r="R912" s="38"/>
      <c r="U912" s="38"/>
      <c r="X912" s="38"/>
      <c r="AA912" s="38"/>
      <c r="AD912" s="38"/>
      <c r="AG912" s="38"/>
      <c r="AJ912" s="38"/>
      <c r="AM912" s="38"/>
      <c r="AP912" s="38"/>
    </row>
    <row r="913" spans="9:42" x14ac:dyDescent="0.2">
      <c r="I913" s="38"/>
      <c r="L913" s="38"/>
      <c r="O913" s="38"/>
      <c r="R913" s="38"/>
      <c r="U913" s="38"/>
      <c r="X913" s="38"/>
      <c r="AA913" s="38"/>
      <c r="AD913" s="38"/>
      <c r="AG913" s="38"/>
      <c r="AJ913" s="38"/>
      <c r="AM913" s="38"/>
      <c r="AP913" s="38"/>
    </row>
    <row r="914" spans="9:42" x14ac:dyDescent="0.2">
      <c r="I914" s="38"/>
      <c r="L914" s="38"/>
      <c r="O914" s="38"/>
      <c r="R914" s="38"/>
      <c r="U914" s="38"/>
      <c r="X914" s="38"/>
      <c r="AA914" s="38"/>
      <c r="AD914" s="38"/>
      <c r="AG914" s="38"/>
      <c r="AJ914" s="38"/>
      <c r="AM914" s="38"/>
      <c r="AP914" s="38"/>
    </row>
    <row r="915" spans="9:42" x14ac:dyDescent="0.2">
      <c r="I915" s="38"/>
      <c r="L915" s="38"/>
      <c r="O915" s="38"/>
      <c r="R915" s="38"/>
      <c r="U915" s="38"/>
      <c r="X915" s="38"/>
      <c r="AA915" s="38"/>
      <c r="AD915" s="38"/>
      <c r="AG915" s="38"/>
      <c r="AJ915" s="38"/>
      <c r="AM915" s="38"/>
      <c r="AP915" s="38"/>
    </row>
    <row r="916" spans="9:42" x14ac:dyDescent="0.2">
      <c r="I916" s="38"/>
      <c r="L916" s="38"/>
      <c r="O916" s="38"/>
      <c r="R916" s="38"/>
      <c r="U916" s="38"/>
      <c r="X916" s="38"/>
      <c r="AA916" s="38"/>
      <c r="AD916" s="38"/>
      <c r="AG916" s="38"/>
      <c r="AJ916" s="38"/>
      <c r="AM916" s="38"/>
      <c r="AP916" s="38"/>
    </row>
    <row r="917" spans="9:42" x14ac:dyDescent="0.2">
      <c r="I917" s="38"/>
      <c r="L917" s="38"/>
      <c r="O917" s="38"/>
      <c r="R917" s="38"/>
      <c r="U917" s="38"/>
      <c r="X917" s="38"/>
      <c r="AA917" s="38"/>
      <c r="AD917" s="38"/>
      <c r="AG917" s="38"/>
      <c r="AJ917" s="38"/>
      <c r="AM917" s="38"/>
      <c r="AP917" s="38"/>
    </row>
    <row r="918" spans="9:42" x14ac:dyDescent="0.2">
      <c r="I918" s="38"/>
      <c r="L918" s="38"/>
      <c r="O918" s="38"/>
      <c r="R918" s="38"/>
      <c r="U918" s="38"/>
      <c r="X918" s="38"/>
      <c r="AA918" s="38"/>
      <c r="AD918" s="38"/>
      <c r="AG918" s="38"/>
      <c r="AJ918" s="38"/>
      <c r="AM918" s="38"/>
      <c r="AP918" s="38"/>
    </row>
    <row r="919" spans="9:42" x14ac:dyDescent="0.2">
      <c r="I919" s="38"/>
      <c r="L919" s="38"/>
      <c r="O919" s="38"/>
      <c r="R919" s="38"/>
      <c r="U919" s="38"/>
      <c r="X919" s="38"/>
      <c r="AA919" s="38"/>
      <c r="AD919" s="38"/>
      <c r="AG919" s="38"/>
      <c r="AJ919" s="38"/>
      <c r="AM919" s="38"/>
      <c r="AP919" s="38"/>
    </row>
    <row r="920" spans="9:42" x14ac:dyDescent="0.2">
      <c r="I920" s="38"/>
      <c r="L920" s="38"/>
      <c r="O920" s="38"/>
      <c r="R920" s="38"/>
      <c r="U920" s="38"/>
      <c r="X920" s="38"/>
      <c r="AA920" s="38"/>
      <c r="AD920" s="38"/>
      <c r="AG920" s="38"/>
      <c r="AJ920" s="38"/>
      <c r="AM920" s="38"/>
      <c r="AP920" s="38"/>
    </row>
    <row r="921" spans="9:42" x14ac:dyDescent="0.2">
      <c r="I921" s="38"/>
      <c r="L921" s="38"/>
      <c r="O921" s="38"/>
      <c r="R921" s="38"/>
      <c r="U921" s="38"/>
      <c r="X921" s="38"/>
      <c r="AA921" s="38"/>
      <c r="AD921" s="38"/>
      <c r="AG921" s="38"/>
      <c r="AJ921" s="38"/>
      <c r="AM921" s="38"/>
      <c r="AP921" s="38"/>
    </row>
    <row r="922" spans="9:42" x14ac:dyDescent="0.2">
      <c r="I922" s="38"/>
      <c r="L922" s="38"/>
      <c r="O922" s="38"/>
      <c r="R922" s="38"/>
      <c r="U922" s="38"/>
      <c r="X922" s="38"/>
      <c r="AA922" s="38"/>
      <c r="AD922" s="38"/>
      <c r="AG922" s="38"/>
      <c r="AJ922" s="38"/>
      <c r="AM922" s="38"/>
      <c r="AP922" s="38"/>
    </row>
    <row r="923" spans="9:42" x14ac:dyDescent="0.2">
      <c r="I923" s="38"/>
      <c r="L923" s="38"/>
      <c r="O923" s="38"/>
      <c r="R923" s="38"/>
      <c r="U923" s="38"/>
      <c r="X923" s="38"/>
      <c r="AA923" s="38"/>
      <c r="AD923" s="38"/>
      <c r="AG923" s="38"/>
      <c r="AJ923" s="38"/>
      <c r="AM923" s="38"/>
      <c r="AP923" s="38"/>
    </row>
    <row r="924" spans="9:42" x14ac:dyDescent="0.2">
      <c r="I924" s="38"/>
      <c r="L924" s="38"/>
      <c r="O924" s="38"/>
      <c r="R924" s="38"/>
      <c r="U924" s="38"/>
      <c r="X924" s="38"/>
      <c r="AA924" s="38"/>
      <c r="AD924" s="38"/>
      <c r="AG924" s="38"/>
      <c r="AJ924" s="38"/>
      <c r="AM924" s="38"/>
      <c r="AP924" s="38"/>
    </row>
    <row r="925" spans="9:42" x14ac:dyDescent="0.2">
      <c r="I925" s="38"/>
      <c r="L925" s="38"/>
      <c r="O925" s="38"/>
      <c r="R925" s="38"/>
      <c r="U925" s="38"/>
      <c r="X925" s="38"/>
      <c r="AA925" s="38"/>
      <c r="AD925" s="38"/>
      <c r="AG925" s="38"/>
      <c r="AJ925" s="38"/>
      <c r="AM925" s="38"/>
      <c r="AP925" s="38"/>
    </row>
    <row r="926" spans="9:42" x14ac:dyDescent="0.2">
      <c r="I926" s="38"/>
      <c r="L926" s="38"/>
      <c r="O926" s="38"/>
      <c r="R926" s="38"/>
      <c r="U926" s="38"/>
      <c r="X926" s="38"/>
      <c r="AA926" s="38"/>
      <c r="AD926" s="38"/>
      <c r="AG926" s="38"/>
      <c r="AJ926" s="38"/>
      <c r="AM926" s="38"/>
      <c r="AP926" s="38"/>
    </row>
    <row r="927" spans="9:42" x14ac:dyDescent="0.2">
      <c r="I927" s="38"/>
      <c r="L927" s="38"/>
      <c r="O927" s="38"/>
      <c r="R927" s="38"/>
      <c r="U927" s="38"/>
      <c r="X927" s="38"/>
      <c r="AA927" s="38"/>
      <c r="AD927" s="38"/>
      <c r="AG927" s="38"/>
      <c r="AJ927" s="38"/>
      <c r="AM927" s="38"/>
      <c r="AP927" s="38"/>
    </row>
    <row r="928" spans="9:42" x14ac:dyDescent="0.2">
      <c r="I928" s="38"/>
      <c r="L928" s="38"/>
      <c r="O928" s="38"/>
      <c r="R928" s="38"/>
      <c r="U928" s="38"/>
      <c r="X928" s="38"/>
      <c r="AA928" s="38"/>
      <c r="AD928" s="38"/>
      <c r="AG928" s="38"/>
      <c r="AJ928" s="38"/>
      <c r="AM928" s="38"/>
      <c r="AP928" s="38"/>
    </row>
    <row r="929" spans="9:42" x14ac:dyDescent="0.2">
      <c r="I929" s="38"/>
      <c r="L929" s="38"/>
      <c r="O929" s="38"/>
      <c r="R929" s="38"/>
      <c r="U929" s="38"/>
      <c r="X929" s="38"/>
      <c r="AA929" s="38"/>
      <c r="AD929" s="38"/>
      <c r="AG929" s="38"/>
      <c r="AJ929" s="38"/>
      <c r="AM929" s="38"/>
      <c r="AP929" s="38"/>
    </row>
    <row r="930" spans="9:42" x14ac:dyDescent="0.2">
      <c r="I930" s="38"/>
      <c r="L930" s="38"/>
      <c r="O930" s="38"/>
      <c r="R930" s="38"/>
      <c r="U930" s="38"/>
      <c r="X930" s="38"/>
      <c r="AA930" s="38"/>
      <c r="AD930" s="38"/>
      <c r="AG930" s="38"/>
      <c r="AJ930" s="38"/>
      <c r="AM930" s="38"/>
      <c r="AP930" s="38"/>
    </row>
    <row r="931" spans="9:42" x14ac:dyDescent="0.2">
      <c r="I931" s="38"/>
      <c r="L931" s="38"/>
      <c r="O931" s="38"/>
      <c r="R931" s="38"/>
      <c r="U931" s="38"/>
      <c r="X931" s="38"/>
      <c r="AA931" s="38"/>
      <c r="AD931" s="38"/>
      <c r="AG931" s="38"/>
      <c r="AJ931" s="38"/>
      <c r="AM931" s="38"/>
      <c r="AP931" s="38"/>
    </row>
    <row r="932" spans="9:42" x14ac:dyDescent="0.2">
      <c r="I932" s="38"/>
      <c r="L932" s="38"/>
      <c r="O932" s="38"/>
      <c r="R932" s="38"/>
      <c r="U932" s="38"/>
      <c r="X932" s="38"/>
      <c r="AA932" s="38"/>
      <c r="AD932" s="38"/>
      <c r="AG932" s="38"/>
      <c r="AJ932" s="38"/>
      <c r="AM932" s="38"/>
      <c r="AP932" s="38"/>
    </row>
    <row r="933" spans="9:42" x14ac:dyDescent="0.2">
      <c r="I933" s="38"/>
      <c r="L933" s="38"/>
      <c r="O933" s="38"/>
      <c r="R933" s="38"/>
      <c r="U933" s="38"/>
      <c r="X933" s="38"/>
      <c r="AA933" s="38"/>
      <c r="AD933" s="38"/>
      <c r="AG933" s="38"/>
      <c r="AJ933" s="38"/>
      <c r="AM933" s="38"/>
      <c r="AP933" s="38"/>
    </row>
    <row r="934" spans="9:42" x14ac:dyDescent="0.2">
      <c r="I934" s="38"/>
      <c r="L934" s="38"/>
      <c r="O934" s="38"/>
      <c r="R934" s="38"/>
      <c r="U934" s="38"/>
      <c r="X934" s="38"/>
      <c r="AA934" s="38"/>
      <c r="AD934" s="38"/>
      <c r="AG934" s="38"/>
      <c r="AJ934" s="38"/>
      <c r="AM934" s="38"/>
      <c r="AP934" s="38"/>
    </row>
    <row r="935" spans="9:42" x14ac:dyDescent="0.2">
      <c r="I935" s="38"/>
      <c r="L935" s="38"/>
      <c r="O935" s="38"/>
      <c r="R935" s="38"/>
      <c r="U935" s="38"/>
      <c r="X935" s="38"/>
      <c r="AA935" s="38"/>
      <c r="AD935" s="38"/>
      <c r="AG935" s="38"/>
      <c r="AJ935" s="38"/>
      <c r="AM935" s="38"/>
      <c r="AP935" s="38"/>
    </row>
    <row r="936" spans="9:42" x14ac:dyDescent="0.2">
      <c r="I936" s="38"/>
      <c r="L936" s="38"/>
      <c r="O936" s="38"/>
      <c r="R936" s="38"/>
      <c r="U936" s="38"/>
      <c r="X936" s="38"/>
      <c r="AA936" s="38"/>
      <c r="AD936" s="38"/>
      <c r="AG936" s="38"/>
      <c r="AJ936" s="38"/>
      <c r="AM936" s="38"/>
      <c r="AP936" s="38"/>
    </row>
    <row r="937" spans="9:42" x14ac:dyDescent="0.2">
      <c r="I937" s="38"/>
      <c r="L937" s="38"/>
      <c r="O937" s="38"/>
      <c r="R937" s="38"/>
      <c r="U937" s="38"/>
      <c r="X937" s="38"/>
      <c r="AA937" s="38"/>
      <c r="AD937" s="38"/>
      <c r="AG937" s="38"/>
      <c r="AJ937" s="38"/>
      <c r="AM937" s="38"/>
      <c r="AP937" s="38"/>
    </row>
    <row r="938" spans="9:42" x14ac:dyDescent="0.2">
      <c r="I938" s="38"/>
      <c r="L938" s="38"/>
      <c r="O938" s="38"/>
      <c r="R938" s="38"/>
      <c r="U938" s="38"/>
      <c r="X938" s="38"/>
      <c r="AA938" s="38"/>
      <c r="AD938" s="38"/>
      <c r="AG938" s="38"/>
      <c r="AJ938" s="38"/>
      <c r="AM938" s="38"/>
      <c r="AP938" s="38"/>
    </row>
    <row r="939" spans="9:42" x14ac:dyDescent="0.2">
      <c r="I939" s="38"/>
      <c r="L939" s="38"/>
      <c r="O939" s="38"/>
      <c r="R939" s="38"/>
      <c r="U939" s="38"/>
      <c r="X939" s="38"/>
      <c r="AA939" s="38"/>
      <c r="AD939" s="38"/>
      <c r="AG939" s="38"/>
      <c r="AJ939" s="38"/>
      <c r="AM939" s="38"/>
      <c r="AP939" s="38"/>
    </row>
    <row r="940" spans="9:42" x14ac:dyDescent="0.2">
      <c r="I940" s="38"/>
      <c r="L940" s="38"/>
      <c r="O940" s="38"/>
      <c r="R940" s="38"/>
      <c r="U940" s="38"/>
      <c r="X940" s="38"/>
      <c r="AA940" s="38"/>
      <c r="AD940" s="38"/>
      <c r="AG940" s="38"/>
      <c r="AJ940" s="38"/>
      <c r="AM940" s="38"/>
      <c r="AP940" s="38"/>
    </row>
    <row r="941" spans="9:42" x14ac:dyDescent="0.2">
      <c r="I941" s="38"/>
      <c r="L941" s="38"/>
      <c r="O941" s="38"/>
      <c r="R941" s="38"/>
      <c r="U941" s="38"/>
      <c r="X941" s="38"/>
      <c r="AA941" s="38"/>
      <c r="AD941" s="38"/>
      <c r="AG941" s="38"/>
      <c r="AJ941" s="38"/>
      <c r="AM941" s="38"/>
      <c r="AP941" s="38"/>
    </row>
    <row r="942" spans="9:42" x14ac:dyDescent="0.2">
      <c r="I942" s="38"/>
      <c r="L942" s="38"/>
      <c r="O942" s="38"/>
      <c r="R942" s="38"/>
      <c r="U942" s="38"/>
      <c r="X942" s="38"/>
      <c r="AA942" s="38"/>
      <c r="AD942" s="38"/>
      <c r="AG942" s="38"/>
      <c r="AJ942" s="38"/>
      <c r="AM942" s="38"/>
      <c r="AP942" s="38"/>
    </row>
    <row r="943" spans="9:42" x14ac:dyDescent="0.2">
      <c r="I943" s="38"/>
      <c r="L943" s="38"/>
      <c r="O943" s="38"/>
      <c r="R943" s="38"/>
      <c r="U943" s="38"/>
      <c r="X943" s="38"/>
      <c r="AA943" s="38"/>
      <c r="AD943" s="38"/>
      <c r="AG943" s="38"/>
      <c r="AJ943" s="38"/>
      <c r="AM943" s="38"/>
      <c r="AP943" s="38"/>
    </row>
    <row r="944" spans="9:42" x14ac:dyDescent="0.2">
      <c r="I944" s="38"/>
      <c r="L944" s="38"/>
      <c r="O944" s="38"/>
      <c r="R944" s="38"/>
      <c r="U944" s="38"/>
      <c r="X944" s="38"/>
      <c r="AA944" s="38"/>
      <c r="AD944" s="38"/>
      <c r="AG944" s="38"/>
      <c r="AJ944" s="38"/>
      <c r="AM944" s="38"/>
      <c r="AP944" s="38"/>
    </row>
    <row r="945" spans="9:42" x14ac:dyDescent="0.2">
      <c r="I945" s="38"/>
      <c r="L945" s="38"/>
      <c r="O945" s="38"/>
      <c r="R945" s="38"/>
      <c r="U945" s="38"/>
      <c r="X945" s="38"/>
      <c r="AA945" s="38"/>
      <c r="AD945" s="38"/>
      <c r="AG945" s="38"/>
      <c r="AJ945" s="38"/>
      <c r="AM945" s="38"/>
      <c r="AP945" s="38"/>
    </row>
    <row r="946" spans="9:42" x14ac:dyDescent="0.2">
      <c r="I946" s="38"/>
      <c r="L946" s="38"/>
      <c r="O946" s="38"/>
      <c r="R946" s="38"/>
      <c r="U946" s="38"/>
      <c r="X946" s="38"/>
      <c r="AA946" s="38"/>
      <c r="AD946" s="38"/>
      <c r="AG946" s="38"/>
      <c r="AJ946" s="38"/>
      <c r="AM946" s="38"/>
      <c r="AP946" s="38"/>
    </row>
    <row r="947" spans="9:42" x14ac:dyDescent="0.2">
      <c r="I947" s="38"/>
      <c r="L947" s="38"/>
      <c r="O947" s="38"/>
      <c r="R947" s="38"/>
      <c r="U947" s="38"/>
      <c r="X947" s="38"/>
      <c r="AA947" s="38"/>
      <c r="AD947" s="38"/>
      <c r="AG947" s="38"/>
      <c r="AJ947" s="38"/>
      <c r="AM947" s="38"/>
      <c r="AP947" s="38"/>
    </row>
    <row r="948" spans="9:42" x14ac:dyDescent="0.2">
      <c r="I948" s="38"/>
      <c r="L948" s="38"/>
      <c r="O948" s="38"/>
      <c r="R948" s="38"/>
      <c r="U948" s="38"/>
      <c r="X948" s="38"/>
      <c r="AA948" s="38"/>
      <c r="AD948" s="38"/>
      <c r="AG948" s="38"/>
      <c r="AJ948" s="38"/>
      <c r="AM948" s="38"/>
      <c r="AP948" s="38"/>
    </row>
    <row r="949" spans="9:42" x14ac:dyDescent="0.2">
      <c r="I949" s="38"/>
      <c r="L949" s="38"/>
      <c r="O949" s="38"/>
      <c r="R949" s="38"/>
      <c r="U949" s="38"/>
      <c r="X949" s="38"/>
      <c r="AA949" s="38"/>
      <c r="AD949" s="38"/>
      <c r="AG949" s="38"/>
      <c r="AJ949" s="38"/>
      <c r="AM949" s="38"/>
      <c r="AP949" s="38"/>
    </row>
    <row r="950" spans="9:42" x14ac:dyDescent="0.2">
      <c r="I950" s="38"/>
      <c r="L950" s="38"/>
      <c r="O950" s="38"/>
      <c r="R950" s="38"/>
      <c r="U950" s="38"/>
      <c r="X950" s="38"/>
      <c r="AA950" s="38"/>
      <c r="AD950" s="38"/>
      <c r="AG950" s="38"/>
      <c r="AJ950" s="38"/>
      <c r="AM950" s="38"/>
      <c r="AP950" s="38"/>
    </row>
    <row r="951" spans="9:42" x14ac:dyDescent="0.2">
      <c r="I951" s="38"/>
      <c r="L951" s="38"/>
      <c r="O951" s="38"/>
      <c r="R951" s="38"/>
      <c r="U951" s="38"/>
      <c r="X951" s="38"/>
      <c r="AA951" s="38"/>
      <c r="AD951" s="38"/>
      <c r="AG951" s="38"/>
      <c r="AJ951" s="38"/>
      <c r="AM951" s="38"/>
      <c r="AP951" s="38"/>
    </row>
    <row r="952" spans="9:42" x14ac:dyDescent="0.2">
      <c r="I952" s="38"/>
      <c r="L952" s="38"/>
      <c r="O952" s="38"/>
      <c r="R952" s="38"/>
      <c r="U952" s="38"/>
      <c r="X952" s="38"/>
      <c r="AA952" s="38"/>
      <c r="AD952" s="38"/>
      <c r="AG952" s="38"/>
      <c r="AJ952" s="38"/>
      <c r="AM952" s="38"/>
      <c r="AP952" s="38"/>
    </row>
    <row r="953" spans="9:42" x14ac:dyDescent="0.2">
      <c r="I953" s="38"/>
      <c r="L953" s="38"/>
      <c r="O953" s="38"/>
      <c r="R953" s="38"/>
      <c r="U953" s="38"/>
      <c r="X953" s="38"/>
      <c r="AA953" s="38"/>
      <c r="AD953" s="38"/>
      <c r="AG953" s="38"/>
      <c r="AJ953" s="38"/>
      <c r="AM953" s="38"/>
      <c r="AP953" s="38"/>
    </row>
    <row r="954" spans="9:42" x14ac:dyDescent="0.2">
      <c r="I954" s="38"/>
      <c r="L954" s="38"/>
      <c r="O954" s="38"/>
      <c r="R954" s="38"/>
      <c r="U954" s="38"/>
      <c r="X954" s="38"/>
      <c r="AA954" s="38"/>
      <c r="AD954" s="38"/>
      <c r="AG954" s="38"/>
      <c r="AJ954" s="38"/>
      <c r="AM954" s="38"/>
      <c r="AP954" s="38"/>
    </row>
    <row r="955" spans="9:42" x14ac:dyDescent="0.2">
      <c r="I955" s="38"/>
      <c r="L955" s="38"/>
      <c r="O955" s="38"/>
      <c r="R955" s="38"/>
      <c r="U955" s="38"/>
      <c r="X955" s="38"/>
      <c r="AA955" s="38"/>
      <c r="AD955" s="38"/>
      <c r="AG955" s="38"/>
      <c r="AJ955" s="38"/>
      <c r="AM955" s="38"/>
      <c r="AP955" s="38"/>
    </row>
    <row r="956" spans="9:42" x14ac:dyDescent="0.2">
      <c r="I956" s="38"/>
      <c r="L956" s="38"/>
      <c r="O956" s="38"/>
      <c r="R956" s="38"/>
      <c r="U956" s="38"/>
      <c r="X956" s="38"/>
      <c r="AA956" s="38"/>
      <c r="AD956" s="38"/>
      <c r="AG956" s="38"/>
      <c r="AJ956" s="38"/>
      <c r="AM956" s="38"/>
      <c r="AP956" s="38"/>
    </row>
    <row r="957" spans="9:42" x14ac:dyDescent="0.2">
      <c r="I957" s="38"/>
      <c r="L957" s="38"/>
      <c r="O957" s="38"/>
      <c r="R957" s="38"/>
      <c r="U957" s="38"/>
      <c r="X957" s="38"/>
      <c r="AA957" s="38"/>
      <c r="AD957" s="38"/>
      <c r="AG957" s="38"/>
      <c r="AJ957" s="38"/>
      <c r="AM957" s="38"/>
      <c r="AP957" s="38"/>
    </row>
    <row r="958" spans="9:42" x14ac:dyDescent="0.2">
      <c r="I958" s="38"/>
      <c r="L958" s="38"/>
      <c r="O958" s="38"/>
      <c r="R958" s="38"/>
      <c r="U958" s="38"/>
      <c r="X958" s="38"/>
      <c r="AA958" s="38"/>
      <c r="AD958" s="38"/>
      <c r="AG958" s="38"/>
      <c r="AJ958" s="38"/>
      <c r="AM958" s="38"/>
      <c r="AP958" s="38"/>
    </row>
    <row r="959" spans="9:42" x14ac:dyDescent="0.2">
      <c r="I959" s="38"/>
      <c r="L959" s="38"/>
      <c r="O959" s="38"/>
      <c r="R959" s="38"/>
      <c r="U959" s="38"/>
      <c r="X959" s="38"/>
      <c r="AA959" s="38"/>
      <c r="AD959" s="38"/>
      <c r="AG959" s="38"/>
      <c r="AJ959" s="38"/>
      <c r="AM959" s="38"/>
      <c r="AP959" s="38"/>
    </row>
    <row r="960" spans="9:42" x14ac:dyDescent="0.2">
      <c r="I960" s="38"/>
      <c r="L960" s="38"/>
      <c r="O960" s="38"/>
      <c r="R960" s="38"/>
      <c r="U960" s="38"/>
      <c r="X960" s="38"/>
      <c r="AA960" s="38"/>
      <c r="AD960" s="38"/>
      <c r="AG960" s="38"/>
      <c r="AJ960" s="38"/>
      <c r="AM960" s="38"/>
      <c r="AP960" s="38"/>
    </row>
    <row r="961" spans="9:42" x14ac:dyDescent="0.2">
      <c r="I961" s="38"/>
      <c r="L961" s="38"/>
      <c r="O961" s="38"/>
      <c r="R961" s="38"/>
      <c r="U961" s="38"/>
      <c r="X961" s="38"/>
      <c r="AA961" s="38"/>
      <c r="AD961" s="38"/>
      <c r="AG961" s="38"/>
      <c r="AJ961" s="38"/>
      <c r="AM961" s="38"/>
      <c r="AP961" s="38"/>
    </row>
    <row r="962" spans="9:42" x14ac:dyDescent="0.2">
      <c r="I962" s="38"/>
      <c r="L962" s="38"/>
      <c r="O962" s="38"/>
      <c r="R962" s="38"/>
      <c r="U962" s="38"/>
      <c r="X962" s="38"/>
      <c r="AA962" s="38"/>
      <c r="AD962" s="38"/>
      <c r="AG962" s="38"/>
      <c r="AJ962" s="38"/>
      <c r="AM962" s="38"/>
      <c r="AP962" s="38"/>
    </row>
    <row r="963" spans="9:42" x14ac:dyDescent="0.2">
      <c r="I963" s="38"/>
      <c r="L963" s="38"/>
      <c r="O963" s="38"/>
      <c r="R963" s="38"/>
      <c r="U963" s="38"/>
      <c r="X963" s="38"/>
      <c r="AA963" s="38"/>
      <c r="AD963" s="38"/>
      <c r="AG963" s="38"/>
      <c r="AJ963" s="38"/>
      <c r="AM963" s="38"/>
      <c r="AP963" s="38"/>
    </row>
    <row r="964" spans="9:42" x14ac:dyDescent="0.2">
      <c r="I964" s="38"/>
      <c r="L964" s="38"/>
      <c r="O964" s="38"/>
      <c r="R964" s="38"/>
      <c r="U964" s="38"/>
      <c r="X964" s="38"/>
      <c r="AA964" s="38"/>
      <c r="AD964" s="38"/>
      <c r="AG964" s="38"/>
      <c r="AJ964" s="38"/>
      <c r="AM964" s="38"/>
      <c r="AP964" s="38"/>
    </row>
    <row r="965" spans="9:42" x14ac:dyDescent="0.2">
      <c r="I965" s="38"/>
      <c r="L965" s="38"/>
      <c r="O965" s="38"/>
      <c r="R965" s="38"/>
      <c r="U965" s="38"/>
      <c r="X965" s="38"/>
      <c r="AA965" s="38"/>
      <c r="AD965" s="38"/>
      <c r="AG965" s="38"/>
      <c r="AJ965" s="38"/>
      <c r="AM965" s="38"/>
      <c r="AP965" s="38"/>
    </row>
    <row r="966" spans="9:42" x14ac:dyDescent="0.2">
      <c r="I966" s="38"/>
      <c r="L966" s="38"/>
      <c r="O966" s="38"/>
      <c r="R966" s="38"/>
      <c r="U966" s="38"/>
      <c r="X966" s="38"/>
      <c r="AA966" s="38"/>
      <c r="AD966" s="38"/>
      <c r="AG966" s="38"/>
      <c r="AJ966" s="38"/>
      <c r="AM966" s="38"/>
      <c r="AP966" s="38"/>
    </row>
    <row r="967" spans="9:42" x14ac:dyDescent="0.2">
      <c r="I967" s="38"/>
      <c r="L967" s="38"/>
      <c r="O967" s="38"/>
      <c r="R967" s="38"/>
      <c r="U967" s="38"/>
      <c r="X967" s="38"/>
      <c r="AA967" s="38"/>
      <c r="AD967" s="38"/>
      <c r="AG967" s="38"/>
      <c r="AJ967" s="38"/>
      <c r="AM967" s="38"/>
      <c r="AP967" s="38"/>
    </row>
    <row r="968" spans="9:42" x14ac:dyDescent="0.2">
      <c r="I968" s="38"/>
      <c r="L968" s="38"/>
      <c r="O968" s="38"/>
      <c r="R968" s="38"/>
      <c r="U968" s="38"/>
      <c r="X968" s="38"/>
      <c r="AA968" s="38"/>
      <c r="AD968" s="38"/>
      <c r="AG968" s="38"/>
      <c r="AJ968" s="38"/>
      <c r="AM968" s="38"/>
      <c r="AP968" s="38"/>
    </row>
    <row r="969" spans="9:42" x14ac:dyDescent="0.2">
      <c r="I969" s="38"/>
      <c r="L969" s="38"/>
      <c r="O969" s="38"/>
      <c r="R969" s="38"/>
      <c r="U969" s="38"/>
      <c r="X969" s="38"/>
      <c r="AA969" s="38"/>
      <c r="AD969" s="38"/>
      <c r="AG969" s="38"/>
      <c r="AJ969" s="38"/>
      <c r="AM969" s="38"/>
      <c r="AP969" s="38"/>
    </row>
    <row r="970" spans="9:42" x14ac:dyDescent="0.2">
      <c r="I970" s="38"/>
      <c r="L970" s="38"/>
      <c r="O970" s="38"/>
      <c r="R970" s="38"/>
      <c r="U970" s="38"/>
      <c r="X970" s="38"/>
      <c r="AA970" s="38"/>
      <c r="AD970" s="38"/>
      <c r="AG970" s="38"/>
      <c r="AJ970" s="38"/>
      <c r="AM970" s="38"/>
      <c r="AP970" s="38"/>
    </row>
    <row r="971" spans="9:42" x14ac:dyDescent="0.2">
      <c r="I971" s="38"/>
      <c r="L971" s="38"/>
      <c r="O971" s="38"/>
      <c r="R971" s="38"/>
      <c r="U971" s="38"/>
      <c r="X971" s="38"/>
      <c r="AA971" s="38"/>
      <c r="AD971" s="38"/>
      <c r="AG971" s="38"/>
      <c r="AJ971" s="38"/>
      <c r="AM971" s="38"/>
      <c r="AP971" s="38"/>
    </row>
    <row r="972" spans="9:42" x14ac:dyDescent="0.2">
      <c r="I972" s="38"/>
      <c r="L972" s="38"/>
      <c r="O972" s="38"/>
      <c r="R972" s="38"/>
      <c r="U972" s="38"/>
      <c r="X972" s="38"/>
      <c r="AA972" s="38"/>
      <c r="AD972" s="38"/>
      <c r="AG972" s="38"/>
      <c r="AJ972" s="38"/>
      <c r="AM972" s="38"/>
      <c r="AP972" s="38"/>
    </row>
    <row r="973" spans="9:42" x14ac:dyDescent="0.2">
      <c r="I973" s="38"/>
      <c r="L973" s="38"/>
      <c r="O973" s="38"/>
      <c r="R973" s="38"/>
      <c r="U973" s="38"/>
      <c r="X973" s="38"/>
      <c r="AA973" s="38"/>
      <c r="AD973" s="38"/>
      <c r="AG973" s="38"/>
      <c r="AJ973" s="38"/>
      <c r="AM973" s="38"/>
      <c r="AP973" s="38"/>
    </row>
    <row r="974" spans="9:42" x14ac:dyDescent="0.2">
      <c r="I974" s="38"/>
      <c r="L974" s="38"/>
      <c r="O974" s="38"/>
      <c r="R974" s="38"/>
      <c r="U974" s="38"/>
      <c r="X974" s="38"/>
      <c r="AA974" s="38"/>
      <c r="AD974" s="38"/>
      <c r="AG974" s="38"/>
      <c r="AJ974" s="38"/>
      <c r="AM974" s="38"/>
      <c r="AP974" s="38"/>
    </row>
    <row r="975" spans="9:42" x14ac:dyDescent="0.2">
      <c r="I975" s="38"/>
      <c r="L975" s="38"/>
      <c r="O975" s="38"/>
      <c r="R975" s="38"/>
      <c r="U975" s="38"/>
      <c r="X975" s="38"/>
      <c r="AA975" s="38"/>
      <c r="AD975" s="38"/>
      <c r="AG975" s="38"/>
      <c r="AJ975" s="38"/>
      <c r="AM975" s="38"/>
      <c r="AP975" s="38"/>
    </row>
    <row r="976" spans="9:42" x14ac:dyDescent="0.2">
      <c r="I976" s="38"/>
      <c r="L976" s="38"/>
      <c r="O976" s="38"/>
      <c r="R976" s="38"/>
      <c r="U976" s="38"/>
      <c r="X976" s="38"/>
      <c r="AA976" s="38"/>
      <c r="AD976" s="38"/>
      <c r="AG976" s="38"/>
      <c r="AJ976" s="38"/>
      <c r="AM976" s="38"/>
      <c r="AP976" s="38"/>
    </row>
    <row r="977" spans="9:42" x14ac:dyDescent="0.2">
      <c r="I977" s="38"/>
      <c r="L977" s="38"/>
      <c r="O977" s="38"/>
      <c r="R977" s="38"/>
      <c r="U977" s="38"/>
      <c r="X977" s="38"/>
      <c r="AA977" s="38"/>
      <c r="AD977" s="38"/>
      <c r="AG977" s="38"/>
      <c r="AJ977" s="38"/>
      <c r="AM977" s="38"/>
      <c r="AP977" s="38"/>
    </row>
    <row r="978" spans="9:42" x14ac:dyDescent="0.2">
      <c r="I978" s="38"/>
      <c r="L978" s="38"/>
      <c r="O978" s="38"/>
      <c r="R978" s="38"/>
      <c r="U978" s="38"/>
      <c r="X978" s="38"/>
      <c r="AA978" s="38"/>
      <c r="AD978" s="38"/>
      <c r="AG978" s="38"/>
      <c r="AJ978" s="38"/>
      <c r="AM978" s="38"/>
      <c r="AP978" s="38"/>
    </row>
    <row r="979" spans="9:42" x14ac:dyDescent="0.2">
      <c r="I979" s="38"/>
      <c r="L979" s="38"/>
      <c r="O979" s="38"/>
      <c r="R979" s="38"/>
      <c r="U979" s="38"/>
      <c r="X979" s="38"/>
      <c r="AA979" s="38"/>
      <c r="AD979" s="38"/>
      <c r="AG979" s="38"/>
      <c r="AJ979" s="38"/>
      <c r="AM979" s="38"/>
      <c r="AP979" s="38"/>
    </row>
    <row r="980" spans="9:42" x14ac:dyDescent="0.2">
      <c r="I980" s="38"/>
      <c r="L980" s="38"/>
      <c r="O980" s="38"/>
      <c r="R980" s="38"/>
      <c r="U980" s="38"/>
      <c r="X980" s="38"/>
      <c r="AA980" s="38"/>
      <c r="AD980" s="38"/>
      <c r="AG980" s="38"/>
      <c r="AJ980" s="38"/>
      <c r="AM980" s="38"/>
      <c r="AP980" s="38"/>
    </row>
    <row r="981" spans="9:42" x14ac:dyDescent="0.2">
      <c r="I981" s="38"/>
      <c r="L981" s="38"/>
      <c r="O981" s="38"/>
      <c r="R981" s="38"/>
      <c r="U981" s="38"/>
      <c r="X981" s="38"/>
      <c r="AA981" s="38"/>
      <c r="AD981" s="38"/>
      <c r="AG981" s="38"/>
      <c r="AJ981" s="38"/>
      <c r="AM981" s="38"/>
      <c r="AP981" s="38"/>
    </row>
    <row r="982" spans="9:42" x14ac:dyDescent="0.2">
      <c r="I982" s="38"/>
      <c r="L982" s="38"/>
      <c r="O982" s="38"/>
      <c r="R982" s="38"/>
      <c r="U982" s="38"/>
      <c r="X982" s="38"/>
      <c r="AA982" s="38"/>
      <c r="AD982" s="38"/>
      <c r="AG982" s="38"/>
      <c r="AJ982" s="38"/>
      <c r="AM982" s="38"/>
      <c r="AP982" s="38"/>
    </row>
    <row r="983" spans="9:42" x14ac:dyDescent="0.2">
      <c r="I983" s="38"/>
      <c r="L983" s="38"/>
      <c r="O983" s="38"/>
      <c r="R983" s="38"/>
      <c r="U983" s="38"/>
      <c r="X983" s="38"/>
      <c r="AA983" s="38"/>
      <c r="AD983" s="38"/>
      <c r="AG983" s="38"/>
      <c r="AJ983" s="38"/>
      <c r="AM983" s="38"/>
      <c r="AP983" s="38"/>
    </row>
    <row r="984" spans="9:42" x14ac:dyDescent="0.2">
      <c r="I984" s="38"/>
      <c r="L984" s="38"/>
      <c r="O984" s="38"/>
      <c r="R984" s="38"/>
      <c r="U984" s="38"/>
      <c r="X984" s="38"/>
      <c r="AA984" s="38"/>
      <c r="AD984" s="38"/>
      <c r="AG984" s="38"/>
      <c r="AJ984" s="38"/>
      <c r="AM984" s="38"/>
      <c r="AP984" s="38"/>
    </row>
    <row r="985" spans="9:42" x14ac:dyDescent="0.2">
      <c r="I985" s="38"/>
      <c r="L985" s="38"/>
      <c r="O985" s="38"/>
      <c r="R985" s="38"/>
      <c r="U985" s="38"/>
      <c r="X985" s="38"/>
      <c r="AA985" s="38"/>
      <c r="AD985" s="38"/>
      <c r="AG985" s="38"/>
      <c r="AJ985" s="38"/>
      <c r="AM985" s="38"/>
      <c r="AP985" s="38"/>
    </row>
    <row r="986" spans="9:42" x14ac:dyDescent="0.2">
      <c r="I986" s="38"/>
      <c r="L986" s="38"/>
      <c r="O986" s="38"/>
      <c r="R986" s="38"/>
      <c r="U986" s="38"/>
      <c r="X986" s="38"/>
      <c r="AA986" s="38"/>
      <c r="AD986" s="38"/>
      <c r="AG986" s="38"/>
      <c r="AJ986" s="38"/>
      <c r="AM986" s="38"/>
      <c r="AP986" s="38"/>
    </row>
    <row r="987" spans="9:42" x14ac:dyDescent="0.2">
      <c r="I987" s="38"/>
      <c r="L987" s="38"/>
      <c r="O987" s="38"/>
      <c r="R987" s="38"/>
      <c r="U987" s="38"/>
      <c r="X987" s="38"/>
      <c r="AA987" s="38"/>
      <c r="AD987" s="38"/>
      <c r="AG987" s="38"/>
      <c r="AJ987" s="38"/>
      <c r="AM987" s="38"/>
      <c r="AP987" s="38"/>
    </row>
    <row r="988" spans="9:42" x14ac:dyDescent="0.2">
      <c r="I988" s="38"/>
      <c r="L988" s="38"/>
      <c r="O988" s="38"/>
      <c r="R988" s="38"/>
      <c r="U988" s="38"/>
      <c r="X988" s="38"/>
      <c r="AA988" s="38"/>
      <c r="AD988" s="38"/>
      <c r="AG988" s="38"/>
      <c r="AJ988" s="38"/>
      <c r="AM988" s="38"/>
      <c r="AP988" s="38"/>
    </row>
    <row r="989" spans="9:42" x14ac:dyDescent="0.2">
      <c r="I989" s="38"/>
      <c r="L989" s="38"/>
      <c r="O989" s="38"/>
      <c r="R989" s="38"/>
      <c r="U989" s="38"/>
      <c r="X989" s="38"/>
      <c r="AA989" s="38"/>
      <c r="AD989" s="38"/>
      <c r="AG989" s="38"/>
      <c r="AJ989" s="38"/>
      <c r="AM989" s="38"/>
      <c r="AP989" s="38"/>
    </row>
    <row r="990" spans="9:42" x14ac:dyDescent="0.2">
      <c r="I990" s="38"/>
      <c r="L990" s="38"/>
      <c r="O990" s="38"/>
      <c r="R990" s="38"/>
      <c r="U990" s="38"/>
      <c r="X990" s="38"/>
      <c r="AA990" s="38"/>
      <c r="AD990" s="38"/>
      <c r="AG990" s="38"/>
      <c r="AJ990" s="38"/>
      <c r="AM990" s="38"/>
      <c r="AP990" s="38"/>
    </row>
    <row r="991" spans="9:42" x14ac:dyDescent="0.2">
      <c r="I991" s="38"/>
      <c r="L991" s="38"/>
      <c r="O991" s="38"/>
      <c r="R991" s="38"/>
      <c r="U991" s="38"/>
      <c r="X991" s="38"/>
      <c r="AA991" s="38"/>
      <c r="AD991" s="38"/>
      <c r="AG991" s="38"/>
      <c r="AJ991" s="38"/>
      <c r="AM991" s="38"/>
      <c r="AP991" s="38"/>
    </row>
    <row r="992" spans="9:42" x14ac:dyDescent="0.2">
      <c r="I992" s="38"/>
      <c r="L992" s="38"/>
      <c r="O992" s="38"/>
      <c r="R992" s="38"/>
      <c r="U992" s="38"/>
      <c r="X992" s="38"/>
      <c r="AA992" s="38"/>
      <c r="AD992" s="38"/>
      <c r="AG992" s="38"/>
      <c r="AJ992" s="38"/>
      <c r="AM992" s="38"/>
      <c r="AP992" s="38"/>
    </row>
    <row r="993" spans="9:42" x14ac:dyDescent="0.2">
      <c r="I993" s="38"/>
      <c r="L993" s="38"/>
      <c r="O993" s="38"/>
      <c r="R993" s="38"/>
      <c r="U993" s="38"/>
      <c r="X993" s="38"/>
      <c r="AA993" s="38"/>
      <c r="AD993" s="38"/>
      <c r="AG993" s="38"/>
      <c r="AJ993" s="38"/>
      <c r="AM993" s="38"/>
      <c r="AP993" s="38"/>
    </row>
    <row r="994" spans="9:42" x14ac:dyDescent="0.2">
      <c r="I994" s="38"/>
      <c r="L994" s="38"/>
      <c r="O994" s="38"/>
      <c r="R994" s="38"/>
      <c r="U994" s="38"/>
      <c r="X994" s="38"/>
      <c r="AA994" s="38"/>
      <c r="AD994" s="38"/>
      <c r="AG994" s="38"/>
      <c r="AJ994" s="38"/>
      <c r="AM994" s="38"/>
      <c r="AP994" s="38"/>
    </row>
    <row r="995" spans="9:42" x14ac:dyDescent="0.2">
      <c r="I995" s="38"/>
      <c r="L995" s="38"/>
      <c r="O995" s="38"/>
      <c r="R995" s="38"/>
      <c r="U995" s="38"/>
      <c r="X995" s="38"/>
      <c r="AA995" s="38"/>
      <c r="AD995" s="38"/>
      <c r="AG995" s="38"/>
      <c r="AJ995" s="38"/>
      <c r="AM995" s="38"/>
      <c r="AP995" s="38"/>
    </row>
    <row r="996" spans="9:42" x14ac:dyDescent="0.2">
      <c r="I996" s="38"/>
      <c r="L996" s="38"/>
      <c r="O996" s="38"/>
      <c r="R996" s="38"/>
      <c r="U996" s="38"/>
      <c r="X996" s="38"/>
      <c r="AA996" s="38"/>
      <c r="AD996" s="38"/>
      <c r="AG996" s="38"/>
      <c r="AJ996" s="38"/>
      <c r="AM996" s="38"/>
      <c r="AP996" s="38"/>
    </row>
    <row r="997" spans="9:42" x14ac:dyDescent="0.2">
      <c r="I997" s="38"/>
      <c r="L997" s="38"/>
      <c r="O997" s="38"/>
      <c r="R997" s="38"/>
      <c r="U997" s="38"/>
      <c r="X997" s="38"/>
      <c r="AA997" s="38"/>
      <c r="AD997" s="38"/>
      <c r="AG997" s="38"/>
      <c r="AJ997" s="38"/>
      <c r="AM997" s="38"/>
      <c r="AP997" s="38"/>
    </row>
    <row r="998" spans="9:42" x14ac:dyDescent="0.2">
      <c r="I998" s="38"/>
      <c r="L998" s="38"/>
      <c r="O998" s="38"/>
      <c r="R998" s="38"/>
      <c r="U998" s="38"/>
      <c r="X998" s="38"/>
      <c r="AA998" s="38"/>
      <c r="AD998" s="38"/>
      <c r="AG998" s="38"/>
      <c r="AJ998" s="38"/>
      <c r="AM998" s="38"/>
      <c r="AP998" s="38"/>
    </row>
    <row r="999" spans="9:42" x14ac:dyDescent="0.2">
      <c r="I999" s="38"/>
      <c r="L999" s="38"/>
      <c r="O999" s="38"/>
      <c r="R999" s="38"/>
      <c r="U999" s="38"/>
      <c r="X999" s="38"/>
      <c r="AA999" s="38"/>
      <c r="AD999" s="38"/>
      <c r="AG999" s="38"/>
      <c r="AJ999" s="38"/>
      <c r="AM999" s="38"/>
      <c r="AP999" s="38"/>
    </row>
    <row r="1000" spans="9:42" x14ac:dyDescent="0.2">
      <c r="I1000" s="38"/>
      <c r="L1000" s="38"/>
      <c r="O1000" s="38"/>
      <c r="R1000" s="38"/>
      <c r="U1000" s="38"/>
      <c r="X1000" s="38"/>
      <c r="AA1000" s="38"/>
      <c r="AD1000" s="38"/>
      <c r="AG1000" s="38"/>
      <c r="AJ1000" s="38"/>
      <c r="AM1000" s="38"/>
      <c r="AP1000" s="38"/>
    </row>
    <row r="1001" spans="9:42" x14ac:dyDescent="0.2">
      <c r="I1001" s="38"/>
      <c r="L1001" s="38"/>
      <c r="O1001" s="38"/>
      <c r="R1001" s="38"/>
      <c r="U1001" s="38"/>
      <c r="X1001" s="38"/>
      <c r="AA1001" s="38"/>
      <c r="AD1001" s="38"/>
      <c r="AG1001" s="38"/>
      <c r="AJ1001" s="38"/>
      <c r="AM1001" s="38"/>
      <c r="AP1001" s="38"/>
    </row>
    <row r="1002" spans="9:42" x14ac:dyDescent="0.2">
      <c r="I1002" s="38"/>
      <c r="L1002" s="38"/>
      <c r="O1002" s="38"/>
      <c r="R1002" s="38"/>
      <c r="U1002" s="38"/>
      <c r="X1002" s="38"/>
      <c r="AA1002" s="38"/>
      <c r="AD1002" s="38"/>
      <c r="AG1002" s="38"/>
      <c r="AJ1002" s="38"/>
      <c r="AM1002" s="38"/>
      <c r="AP1002" s="38"/>
    </row>
    <row r="1003" spans="9:42" x14ac:dyDescent="0.2">
      <c r="I1003" s="38"/>
      <c r="L1003" s="38"/>
      <c r="O1003" s="38"/>
      <c r="R1003" s="38"/>
      <c r="U1003" s="38"/>
      <c r="X1003" s="38"/>
      <c r="AA1003" s="38"/>
      <c r="AD1003" s="38"/>
      <c r="AG1003" s="38"/>
      <c r="AJ1003" s="38"/>
      <c r="AM1003" s="38"/>
      <c r="AP1003" s="38"/>
    </row>
    <row r="1004" spans="9:42" x14ac:dyDescent="0.2">
      <c r="I1004" s="38"/>
      <c r="L1004" s="38"/>
      <c r="O1004" s="38"/>
      <c r="R1004" s="38"/>
      <c r="U1004" s="38"/>
      <c r="X1004" s="38"/>
      <c r="AA1004" s="38"/>
      <c r="AD1004" s="38"/>
      <c r="AG1004" s="38"/>
      <c r="AJ1004" s="38"/>
      <c r="AM1004" s="38"/>
      <c r="AP1004" s="38"/>
    </row>
    <row r="1005" spans="9:42" x14ac:dyDescent="0.2">
      <c r="I1005" s="38"/>
      <c r="L1005" s="38"/>
      <c r="O1005" s="38"/>
      <c r="R1005" s="38"/>
      <c r="U1005" s="38"/>
      <c r="X1005" s="38"/>
      <c r="AA1005" s="38"/>
      <c r="AD1005" s="38"/>
      <c r="AG1005" s="38"/>
      <c r="AJ1005" s="38"/>
      <c r="AM1005" s="38"/>
      <c r="AP1005" s="38"/>
    </row>
    <row r="1006" spans="9:42" x14ac:dyDescent="0.2">
      <c r="I1006" s="38"/>
      <c r="L1006" s="38"/>
      <c r="O1006" s="38"/>
      <c r="R1006" s="38"/>
      <c r="U1006" s="38"/>
      <c r="X1006" s="38"/>
      <c r="AA1006" s="38"/>
      <c r="AD1006" s="38"/>
      <c r="AG1006" s="38"/>
      <c r="AJ1006" s="38"/>
      <c r="AM1006" s="38"/>
      <c r="AP1006" s="38"/>
    </row>
    <row r="1007" spans="9:42" x14ac:dyDescent="0.2">
      <c r="I1007" s="38"/>
      <c r="L1007" s="38"/>
      <c r="O1007" s="38"/>
      <c r="R1007" s="38"/>
      <c r="U1007" s="38"/>
      <c r="X1007" s="38"/>
      <c r="AA1007" s="38"/>
      <c r="AD1007" s="38"/>
      <c r="AG1007" s="38"/>
      <c r="AJ1007" s="38"/>
      <c r="AM1007" s="38"/>
      <c r="AP1007" s="38"/>
    </row>
    <row r="1008" spans="9:42" x14ac:dyDescent="0.2">
      <c r="I1008" s="38"/>
      <c r="L1008" s="38"/>
      <c r="O1008" s="38"/>
      <c r="R1008" s="38"/>
      <c r="U1008" s="38"/>
      <c r="X1008" s="38"/>
      <c r="AA1008" s="38"/>
      <c r="AD1008" s="38"/>
      <c r="AG1008" s="38"/>
      <c r="AJ1008" s="38"/>
      <c r="AM1008" s="38"/>
      <c r="AP1008" s="38"/>
    </row>
    <row r="1009" spans="9:42" x14ac:dyDescent="0.2">
      <c r="I1009" s="38"/>
      <c r="L1009" s="38"/>
      <c r="O1009" s="38"/>
      <c r="R1009" s="38"/>
      <c r="U1009" s="38"/>
      <c r="X1009" s="38"/>
      <c r="AA1009" s="38"/>
      <c r="AD1009" s="38"/>
      <c r="AG1009" s="38"/>
      <c r="AJ1009" s="38"/>
      <c r="AM1009" s="38"/>
      <c r="AP1009" s="38"/>
    </row>
    <row r="1010" spans="9:42" x14ac:dyDescent="0.2">
      <c r="I1010" s="38"/>
      <c r="L1010" s="38"/>
      <c r="O1010" s="38"/>
      <c r="R1010" s="38"/>
      <c r="U1010" s="38"/>
      <c r="X1010" s="38"/>
      <c r="AA1010" s="38"/>
      <c r="AD1010" s="38"/>
      <c r="AG1010" s="38"/>
      <c r="AJ1010" s="38"/>
      <c r="AM1010" s="38"/>
      <c r="AP1010" s="38"/>
    </row>
    <row r="1011" spans="9:42" x14ac:dyDescent="0.2">
      <c r="I1011" s="38"/>
      <c r="L1011" s="38"/>
      <c r="O1011" s="38"/>
      <c r="R1011" s="38"/>
      <c r="U1011" s="38"/>
      <c r="X1011" s="38"/>
      <c r="AA1011" s="38"/>
      <c r="AD1011" s="38"/>
      <c r="AG1011" s="38"/>
      <c r="AJ1011" s="38"/>
      <c r="AM1011" s="38"/>
      <c r="AP1011" s="38"/>
    </row>
    <row r="1012" spans="9:42" x14ac:dyDescent="0.2">
      <c r="I1012" s="38"/>
      <c r="L1012" s="38"/>
      <c r="O1012" s="38"/>
      <c r="R1012" s="38"/>
      <c r="U1012" s="38"/>
      <c r="X1012" s="38"/>
      <c r="AA1012" s="38"/>
      <c r="AD1012" s="38"/>
      <c r="AG1012" s="38"/>
      <c r="AJ1012" s="38"/>
      <c r="AM1012" s="38"/>
      <c r="AP1012" s="38"/>
    </row>
    <row r="1013" spans="9:42" x14ac:dyDescent="0.2">
      <c r="I1013" s="38"/>
      <c r="L1013" s="38"/>
      <c r="O1013" s="38"/>
      <c r="R1013" s="38"/>
      <c r="U1013" s="38"/>
      <c r="X1013" s="38"/>
      <c r="AA1013" s="38"/>
      <c r="AD1013" s="38"/>
      <c r="AG1013" s="38"/>
      <c r="AJ1013" s="38"/>
      <c r="AM1013" s="38"/>
      <c r="AP1013" s="38"/>
    </row>
    <row r="1014" spans="9:42" x14ac:dyDescent="0.2">
      <c r="I1014" s="38"/>
      <c r="L1014" s="38"/>
      <c r="O1014" s="38"/>
      <c r="R1014" s="38"/>
      <c r="U1014" s="38"/>
      <c r="X1014" s="38"/>
      <c r="AA1014" s="38"/>
      <c r="AD1014" s="38"/>
      <c r="AG1014" s="38"/>
      <c r="AJ1014" s="38"/>
      <c r="AM1014" s="38"/>
      <c r="AP1014" s="38"/>
    </row>
    <row r="1015" spans="9:42" x14ac:dyDescent="0.2">
      <c r="I1015" s="38"/>
      <c r="L1015" s="38"/>
      <c r="O1015" s="38"/>
      <c r="R1015" s="38"/>
      <c r="U1015" s="38"/>
      <c r="X1015" s="38"/>
      <c r="AA1015" s="38"/>
      <c r="AD1015" s="38"/>
      <c r="AG1015" s="38"/>
      <c r="AJ1015" s="38"/>
      <c r="AM1015" s="38"/>
      <c r="AP1015" s="38"/>
    </row>
    <row r="1016" spans="9:42" x14ac:dyDescent="0.2">
      <c r="I1016" s="38"/>
      <c r="L1016" s="38"/>
      <c r="O1016" s="38"/>
      <c r="R1016" s="38"/>
      <c r="U1016" s="38"/>
      <c r="X1016" s="38"/>
      <c r="AA1016" s="38"/>
      <c r="AD1016" s="38"/>
      <c r="AG1016" s="38"/>
      <c r="AJ1016" s="38"/>
      <c r="AM1016" s="38"/>
      <c r="AP1016" s="38"/>
    </row>
    <row r="1017" spans="9:42" x14ac:dyDescent="0.2">
      <c r="I1017" s="38"/>
      <c r="L1017" s="38"/>
      <c r="O1017" s="38"/>
      <c r="R1017" s="38"/>
      <c r="U1017" s="38"/>
      <c r="X1017" s="38"/>
      <c r="AA1017" s="38"/>
      <c r="AD1017" s="38"/>
      <c r="AG1017" s="38"/>
      <c r="AJ1017" s="38"/>
      <c r="AM1017" s="38"/>
      <c r="AP1017" s="38"/>
    </row>
    <row r="1018" spans="9:42" x14ac:dyDescent="0.2">
      <c r="I1018" s="38"/>
      <c r="L1018" s="38"/>
      <c r="O1018" s="38"/>
      <c r="R1018" s="38"/>
      <c r="U1018" s="38"/>
      <c r="X1018" s="38"/>
      <c r="AA1018" s="38"/>
      <c r="AD1018" s="38"/>
      <c r="AG1018" s="38"/>
      <c r="AJ1018" s="38"/>
      <c r="AM1018" s="38"/>
      <c r="AP1018" s="38"/>
    </row>
    <row r="1019" spans="9:42" x14ac:dyDescent="0.2">
      <c r="I1019" s="38"/>
      <c r="L1019" s="38"/>
      <c r="O1019" s="38"/>
      <c r="R1019" s="38"/>
      <c r="U1019" s="38"/>
      <c r="X1019" s="38"/>
      <c r="AA1019" s="38"/>
      <c r="AD1019" s="38"/>
      <c r="AG1019" s="38"/>
      <c r="AJ1019" s="38"/>
      <c r="AM1019" s="38"/>
      <c r="AP1019" s="38"/>
    </row>
    <row r="1020" spans="9:42" x14ac:dyDescent="0.2">
      <c r="I1020" s="38"/>
      <c r="L1020" s="38"/>
      <c r="O1020" s="38"/>
      <c r="R1020" s="38"/>
      <c r="U1020" s="38"/>
      <c r="X1020" s="38"/>
      <c r="AA1020" s="38"/>
      <c r="AD1020" s="38"/>
      <c r="AG1020" s="38"/>
      <c r="AJ1020" s="38"/>
      <c r="AM1020" s="38"/>
      <c r="AP1020" s="38"/>
    </row>
    <row r="1021" spans="9:42" x14ac:dyDescent="0.2">
      <c r="I1021" s="38"/>
      <c r="L1021" s="38"/>
      <c r="O1021" s="38"/>
      <c r="R1021" s="38"/>
      <c r="U1021" s="38"/>
      <c r="X1021" s="38"/>
      <c r="AA1021" s="38"/>
      <c r="AD1021" s="38"/>
      <c r="AG1021" s="38"/>
      <c r="AJ1021" s="38"/>
      <c r="AM1021" s="38"/>
      <c r="AP1021" s="38"/>
    </row>
    <row r="1022" spans="9:42" x14ac:dyDescent="0.2">
      <c r="I1022" s="38"/>
      <c r="L1022" s="38"/>
      <c r="O1022" s="38"/>
      <c r="R1022" s="38"/>
      <c r="U1022" s="38"/>
      <c r="X1022" s="38"/>
      <c r="AA1022" s="38"/>
      <c r="AD1022" s="38"/>
      <c r="AG1022" s="38"/>
      <c r="AJ1022" s="38"/>
      <c r="AM1022" s="38"/>
      <c r="AP1022" s="38"/>
    </row>
    <row r="1023" spans="9:42" x14ac:dyDescent="0.2">
      <c r="I1023" s="38"/>
      <c r="L1023" s="38"/>
      <c r="O1023" s="38"/>
      <c r="R1023" s="38"/>
      <c r="U1023" s="38"/>
      <c r="X1023" s="38"/>
      <c r="AA1023" s="38"/>
      <c r="AD1023" s="38"/>
      <c r="AG1023" s="38"/>
      <c r="AJ1023" s="38"/>
      <c r="AM1023" s="38"/>
      <c r="AP1023" s="38"/>
    </row>
    <row r="1024" spans="9:42" x14ac:dyDescent="0.2">
      <c r="I1024" s="38"/>
      <c r="L1024" s="38"/>
      <c r="O1024" s="38"/>
      <c r="R1024" s="38"/>
      <c r="U1024" s="38"/>
      <c r="X1024" s="38"/>
      <c r="AA1024" s="38"/>
      <c r="AD1024" s="38"/>
      <c r="AG1024" s="38"/>
      <c r="AJ1024" s="38"/>
      <c r="AM1024" s="38"/>
      <c r="AP1024" s="38"/>
    </row>
    <row r="1025" spans="9:42" x14ac:dyDescent="0.2">
      <c r="I1025" s="38"/>
      <c r="L1025" s="38"/>
      <c r="O1025" s="38"/>
      <c r="R1025" s="38"/>
      <c r="U1025" s="38"/>
      <c r="X1025" s="38"/>
      <c r="AA1025" s="38"/>
      <c r="AD1025" s="38"/>
      <c r="AG1025" s="38"/>
      <c r="AJ1025" s="38"/>
      <c r="AM1025" s="38"/>
      <c r="AP1025" s="38"/>
    </row>
    <row r="1026" spans="9:42" x14ac:dyDescent="0.2">
      <c r="I1026" s="38"/>
      <c r="L1026" s="38"/>
      <c r="O1026" s="38"/>
      <c r="R1026" s="38"/>
      <c r="U1026" s="38"/>
      <c r="X1026" s="38"/>
      <c r="AA1026" s="38"/>
      <c r="AD1026" s="38"/>
      <c r="AG1026" s="38"/>
      <c r="AJ1026" s="38"/>
      <c r="AM1026" s="38"/>
      <c r="AP1026" s="38"/>
    </row>
    <row r="1027" spans="9:42" x14ac:dyDescent="0.2">
      <c r="I1027" s="38"/>
      <c r="L1027" s="38"/>
      <c r="O1027" s="38"/>
      <c r="R1027" s="38"/>
      <c r="U1027" s="38"/>
      <c r="X1027" s="38"/>
      <c r="AA1027" s="38"/>
      <c r="AD1027" s="38"/>
      <c r="AG1027" s="38"/>
      <c r="AJ1027" s="38"/>
      <c r="AM1027" s="38"/>
      <c r="AP1027" s="38"/>
    </row>
    <row r="1028" spans="9:42" x14ac:dyDescent="0.2">
      <c r="I1028" s="38"/>
      <c r="L1028" s="38"/>
      <c r="O1028" s="38"/>
      <c r="R1028" s="38"/>
      <c r="U1028" s="38"/>
      <c r="X1028" s="38"/>
      <c r="AA1028" s="38"/>
      <c r="AD1028" s="38"/>
      <c r="AG1028" s="38"/>
      <c r="AJ1028" s="38"/>
      <c r="AM1028" s="38"/>
      <c r="AP1028" s="38"/>
    </row>
    <row r="1029" spans="9:42" x14ac:dyDescent="0.2">
      <c r="I1029" s="38"/>
      <c r="L1029" s="38"/>
      <c r="O1029" s="38"/>
      <c r="R1029" s="38"/>
      <c r="U1029" s="38"/>
      <c r="X1029" s="38"/>
      <c r="AA1029" s="38"/>
      <c r="AD1029" s="38"/>
      <c r="AG1029" s="38"/>
      <c r="AJ1029" s="38"/>
      <c r="AM1029" s="38"/>
      <c r="AP1029" s="38"/>
    </row>
    <row r="1030" spans="9:42" x14ac:dyDescent="0.2">
      <c r="I1030" s="38"/>
      <c r="L1030" s="38"/>
      <c r="O1030" s="38"/>
      <c r="R1030" s="38"/>
      <c r="U1030" s="38"/>
      <c r="X1030" s="38"/>
      <c r="AA1030" s="38"/>
      <c r="AD1030" s="38"/>
      <c r="AG1030" s="38"/>
      <c r="AJ1030" s="38"/>
      <c r="AM1030" s="38"/>
      <c r="AP1030" s="38"/>
    </row>
    <row r="1031" spans="9:42" x14ac:dyDescent="0.2">
      <c r="I1031" s="38"/>
      <c r="L1031" s="38"/>
      <c r="O1031" s="38"/>
      <c r="R1031" s="38"/>
      <c r="U1031" s="38"/>
      <c r="X1031" s="38"/>
      <c r="AA1031" s="38"/>
      <c r="AD1031" s="38"/>
      <c r="AG1031" s="38"/>
      <c r="AJ1031" s="38"/>
      <c r="AM1031" s="38"/>
      <c r="AP1031" s="38"/>
    </row>
    <row r="1032" spans="9:42" x14ac:dyDescent="0.2">
      <c r="I1032" s="38"/>
      <c r="L1032" s="38"/>
      <c r="O1032" s="38"/>
      <c r="R1032" s="38"/>
      <c r="U1032" s="38"/>
      <c r="X1032" s="38"/>
      <c r="AA1032" s="38"/>
      <c r="AD1032" s="38"/>
      <c r="AG1032" s="38"/>
      <c r="AJ1032" s="38"/>
      <c r="AM1032" s="38"/>
      <c r="AP1032" s="38"/>
    </row>
    <row r="1033" spans="9:42" x14ac:dyDescent="0.2">
      <c r="I1033" s="38"/>
      <c r="L1033" s="38"/>
      <c r="O1033" s="38"/>
      <c r="R1033" s="38"/>
      <c r="U1033" s="38"/>
      <c r="X1033" s="38"/>
      <c r="AA1033" s="38"/>
      <c r="AD1033" s="38"/>
      <c r="AG1033" s="38"/>
      <c r="AJ1033" s="38"/>
      <c r="AM1033" s="38"/>
      <c r="AP1033" s="38"/>
    </row>
    <row r="1034" spans="9:42" x14ac:dyDescent="0.2">
      <c r="I1034" s="38"/>
      <c r="L1034" s="38"/>
      <c r="O1034" s="38"/>
      <c r="R1034" s="38"/>
      <c r="U1034" s="38"/>
      <c r="X1034" s="38"/>
      <c r="AA1034" s="38"/>
      <c r="AD1034" s="38"/>
      <c r="AG1034" s="38"/>
      <c r="AJ1034" s="38"/>
      <c r="AM1034" s="38"/>
      <c r="AP1034" s="38"/>
    </row>
    <row r="1035" spans="9:42" x14ac:dyDescent="0.2">
      <c r="I1035" s="38"/>
      <c r="L1035" s="38"/>
      <c r="O1035" s="38"/>
      <c r="R1035" s="38"/>
      <c r="U1035" s="38"/>
      <c r="X1035" s="38"/>
      <c r="AA1035" s="38"/>
      <c r="AD1035" s="38"/>
      <c r="AG1035" s="38"/>
      <c r="AJ1035" s="38"/>
      <c r="AM1035" s="38"/>
      <c r="AP1035" s="38"/>
    </row>
    <row r="1036" spans="9:42" x14ac:dyDescent="0.2">
      <c r="I1036" s="38"/>
      <c r="L1036" s="38"/>
      <c r="O1036" s="38"/>
      <c r="R1036" s="38"/>
      <c r="U1036" s="38"/>
      <c r="X1036" s="38"/>
      <c r="AA1036" s="38"/>
      <c r="AD1036" s="38"/>
      <c r="AG1036" s="38"/>
      <c r="AJ1036" s="38"/>
      <c r="AM1036" s="38"/>
      <c r="AP1036" s="38"/>
    </row>
    <row r="1037" spans="9:42" x14ac:dyDescent="0.2">
      <c r="I1037" s="38"/>
      <c r="L1037" s="38"/>
      <c r="O1037" s="38"/>
      <c r="R1037" s="38"/>
      <c r="U1037" s="38"/>
      <c r="X1037" s="38"/>
      <c r="AA1037" s="38"/>
      <c r="AD1037" s="38"/>
      <c r="AG1037" s="38"/>
      <c r="AJ1037" s="38"/>
      <c r="AM1037" s="38"/>
      <c r="AP1037" s="38"/>
    </row>
    <row r="1038" spans="9:42" x14ac:dyDescent="0.2">
      <c r="I1038" s="38"/>
      <c r="L1038" s="38"/>
      <c r="O1038" s="38"/>
      <c r="R1038" s="38"/>
      <c r="U1038" s="38"/>
      <c r="X1038" s="38"/>
      <c r="AA1038" s="38"/>
      <c r="AD1038" s="38"/>
      <c r="AG1038" s="38"/>
      <c r="AJ1038" s="38"/>
      <c r="AM1038" s="38"/>
      <c r="AP1038" s="38"/>
    </row>
    <row r="1039" spans="9:42" x14ac:dyDescent="0.2">
      <c r="I1039" s="38"/>
      <c r="L1039" s="38"/>
      <c r="O1039" s="38"/>
      <c r="R1039" s="38"/>
      <c r="U1039" s="38"/>
      <c r="X1039" s="38"/>
      <c r="AA1039" s="38"/>
      <c r="AD1039" s="38"/>
      <c r="AG1039" s="38"/>
      <c r="AJ1039" s="38"/>
      <c r="AM1039" s="38"/>
      <c r="AP1039" s="38"/>
    </row>
    <row r="1040" spans="9:42" x14ac:dyDescent="0.2">
      <c r="I1040" s="38"/>
      <c r="L1040" s="38"/>
      <c r="O1040" s="38"/>
      <c r="R1040" s="38"/>
      <c r="U1040" s="38"/>
      <c r="X1040" s="38"/>
      <c r="AA1040" s="38"/>
      <c r="AD1040" s="38"/>
      <c r="AG1040" s="38"/>
      <c r="AJ1040" s="38"/>
      <c r="AM1040" s="38"/>
      <c r="AP1040" s="38"/>
    </row>
    <row r="1041" spans="9:42" x14ac:dyDescent="0.2">
      <c r="I1041" s="38"/>
      <c r="L1041" s="38"/>
      <c r="O1041" s="38"/>
      <c r="R1041" s="38"/>
      <c r="U1041" s="38"/>
      <c r="X1041" s="38"/>
      <c r="AA1041" s="38"/>
      <c r="AD1041" s="38"/>
      <c r="AG1041" s="38"/>
      <c r="AJ1041" s="38"/>
      <c r="AM1041" s="38"/>
      <c r="AP1041" s="38"/>
    </row>
    <row r="1042" spans="9:42" x14ac:dyDescent="0.2">
      <c r="I1042" s="38"/>
      <c r="L1042" s="38"/>
      <c r="O1042" s="38"/>
      <c r="R1042" s="38"/>
      <c r="U1042" s="38"/>
      <c r="X1042" s="38"/>
      <c r="AA1042" s="38"/>
      <c r="AD1042" s="38"/>
      <c r="AG1042" s="38"/>
      <c r="AJ1042" s="38"/>
      <c r="AM1042" s="38"/>
      <c r="AP1042" s="38"/>
    </row>
    <row r="1043" spans="9:42" x14ac:dyDescent="0.2">
      <c r="I1043" s="38"/>
      <c r="L1043" s="38"/>
      <c r="O1043" s="38"/>
      <c r="R1043" s="38"/>
      <c r="U1043" s="38"/>
      <c r="X1043" s="38"/>
      <c r="AA1043" s="38"/>
      <c r="AD1043" s="38"/>
      <c r="AG1043" s="38"/>
      <c r="AJ1043" s="38"/>
      <c r="AM1043" s="38"/>
      <c r="AP1043" s="38"/>
    </row>
    <row r="1044" spans="9:42" x14ac:dyDescent="0.2">
      <c r="I1044" s="38"/>
      <c r="L1044" s="38"/>
      <c r="O1044" s="38"/>
      <c r="R1044" s="38"/>
      <c r="U1044" s="38"/>
      <c r="X1044" s="38"/>
      <c r="AA1044" s="38"/>
      <c r="AD1044" s="38"/>
      <c r="AG1044" s="38"/>
      <c r="AJ1044" s="38"/>
      <c r="AM1044" s="38"/>
      <c r="AP1044" s="38"/>
    </row>
    <row r="1045" spans="9:42" x14ac:dyDescent="0.2">
      <c r="I1045" s="38"/>
      <c r="L1045" s="38"/>
      <c r="O1045" s="38"/>
      <c r="R1045" s="38"/>
      <c r="U1045" s="38"/>
      <c r="X1045" s="38"/>
      <c r="AA1045" s="38"/>
      <c r="AD1045" s="38"/>
      <c r="AG1045" s="38"/>
      <c r="AJ1045" s="38"/>
      <c r="AM1045" s="38"/>
      <c r="AP1045" s="38"/>
    </row>
    <row r="1046" spans="9:42" x14ac:dyDescent="0.2">
      <c r="I1046" s="38"/>
      <c r="L1046" s="38"/>
      <c r="O1046" s="38"/>
      <c r="R1046" s="38"/>
      <c r="U1046" s="38"/>
      <c r="X1046" s="38"/>
      <c r="AA1046" s="38"/>
      <c r="AD1046" s="38"/>
      <c r="AG1046" s="38"/>
      <c r="AJ1046" s="38"/>
      <c r="AM1046" s="38"/>
      <c r="AP1046" s="38"/>
    </row>
    <row r="1047" spans="9:42" x14ac:dyDescent="0.2">
      <c r="I1047" s="38"/>
      <c r="L1047" s="38"/>
      <c r="O1047" s="38"/>
      <c r="R1047" s="38"/>
      <c r="U1047" s="38"/>
      <c r="X1047" s="38"/>
      <c r="AA1047" s="38"/>
      <c r="AD1047" s="38"/>
      <c r="AG1047" s="38"/>
      <c r="AJ1047" s="38"/>
      <c r="AM1047" s="38"/>
      <c r="AP1047" s="38"/>
    </row>
    <row r="1048" spans="9:42" x14ac:dyDescent="0.2">
      <c r="I1048" s="38"/>
      <c r="L1048" s="38"/>
      <c r="O1048" s="38"/>
      <c r="R1048" s="38"/>
      <c r="U1048" s="38"/>
      <c r="X1048" s="38"/>
      <c r="AA1048" s="38"/>
      <c r="AD1048" s="38"/>
      <c r="AG1048" s="38"/>
      <c r="AJ1048" s="38"/>
      <c r="AM1048" s="38"/>
      <c r="AP1048" s="38"/>
    </row>
    <row r="1049" spans="9:42" x14ac:dyDescent="0.2">
      <c r="I1049" s="38"/>
      <c r="L1049" s="38"/>
      <c r="O1049" s="38"/>
      <c r="R1049" s="38"/>
      <c r="U1049" s="38"/>
      <c r="X1049" s="38"/>
      <c r="AA1049" s="38"/>
      <c r="AD1049" s="38"/>
      <c r="AG1049" s="38"/>
      <c r="AJ1049" s="38"/>
      <c r="AM1049" s="38"/>
      <c r="AP1049" s="38"/>
    </row>
    <row r="1050" spans="9:42" x14ac:dyDescent="0.2">
      <c r="I1050" s="38"/>
      <c r="L1050" s="38"/>
      <c r="O1050" s="38"/>
      <c r="R1050" s="38"/>
      <c r="U1050" s="38"/>
      <c r="X1050" s="38"/>
      <c r="AA1050" s="38"/>
      <c r="AD1050" s="38"/>
      <c r="AG1050" s="38"/>
      <c r="AJ1050" s="38"/>
      <c r="AM1050" s="38"/>
      <c r="AP1050" s="38"/>
    </row>
    <row r="1051" spans="9:42" x14ac:dyDescent="0.2">
      <c r="I1051" s="38"/>
      <c r="L1051" s="38"/>
      <c r="O1051" s="38"/>
      <c r="R1051" s="38"/>
      <c r="U1051" s="38"/>
      <c r="X1051" s="38"/>
      <c r="AA1051" s="38"/>
      <c r="AD1051" s="38"/>
      <c r="AG1051" s="38"/>
      <c r="AJ1051" s="38"/>
      <c r="AM1051" s="38"/>
      <c r="AP1051" s="38"/>
    </row>
    <row r="1052" spans="9:42" x14ac:dyDescent="0.2">
      <c r="I1052" s="38"/>
      <c r="L1052" s="38"/>
      <c r="O1052" s="38"/>
      <c r="R1052" s="38"/>
      <c r="U1052" s="38"/>
      <c r="X1052" s="38"/>
      <c r="AA1052" s="38"/>
      <c r="AD1052" s="38"/>
      <c r="AG1052" s="38"/>
      <c r="AJ1052" s="38"/>
      <c r="AM1052" s="38"/>
      <c r="AP1052" s="38"/>
    </row>
    <row r="1053" spans="9:42" x14ac:dyDescent="0.2">
      <c r="I1053" s="38"/>
      <c r="L1053" s="38"/>
      <c r="O1053" s="38"/>
      <c r="R1053" s="38"/>
      <c r="U1053" s="38"/>
      <c r="X1053" s="38"/>
      <c r="AA1053" s="38"/>
      <c r="AD1053" s="38"/>
      <c r="AG1053" s="38"/>
      <c r="AJ1053" s="38"/>
      <c r="AM1053" s="38"/>
      <c r="AP1053" s="38"/>
    </row>
    <row r="1054" spans="9:42" x14ac:dyDescent="0.2">
      <c r="I1054" s="38"/>
      <c r="L1054" s="38"/>
      <c r="O1054" s="38"/>
      <c r="R1054" s="38"/>
      <c r="U1054" s="38"/>
      <c r="X1054" s="38"/>
      <c r="AA1054" s="38"/>
      <c r="AD1054" s="38"/>
      <c r="AG1054" s="38"/>
      <c r="AJ1054" s="38"/>
      <c r="AM1054" s="38"/>
      <c r="AP1054" s="38"/>
    </row>
    <row r="1055" spans="9:42" x14ac:dyDescent="0.2">
      <c r="I1055" s="38"/>
      <c r="L1055" s="38"/>
      <c r="O1055" s="38"/>
      <c r="R1055" s="38"/>
      <c r="U1055" s="38"/>
      <c r="X1055" s="38"/>
      <c r="AA1055" s="38"/>
      <c r="AD1055" s="38"/>
      <c r="AG1055" s="38"/>
      <c r="AJ1055" s="38"/>
      <c r="AM1055" s="38"/>
      <c r="AP1055" s="38"/>
    </row>
    <row r="1056" spans="9:42" x14ac:dyDescent="0.2">
      <c r="I1056" s="38"/>
      <c r="L1056" s="38"/>
      <c r="O1056" s="38"/>
      <c r="R1056" s="38"/>
      <c r="U1056" s="38"/>
      <c r="X1056" s="38"/>
      <c r="AA1056" s="38"/>
      <c r="AD1056" s="38"/>
      <c r="AG1056" s="38"/>
      <c r="AJ1056" s="38"/>
      <c r="AM1056" s="38"/>
      <c r="AP1056" s="38"/>
    </row>
    <row r="1057" spans="9:42" x14ac:dyDescent="0.2">
      <c r="I1057" s="38"/>
      <c r="L1057" s="38"/>
      <c r="O1057" s="38"/>
      <c r="R1057" s="38"/>
      <c r="U1057" s="38"/>
      <c r="X1057" s="38"/>
      <c r="AA1057" s="38"/>
      <c r="AD1057" s="38"/>
      <c r="AG1057" s="38"/>
      <c r="AJ1057" s="38"/>
      <c r="AM1057" s="38"/>
      <c r="AP1057" s="38"/>
    </row>
    <row r="1058" spans="9:42" x14ac:dyDescent="0.2">
      <c r="I1058" s="38"/>
      <c r="L1058" s="38"/>
      <c r="O1058" s="38"/>
      <c r="R1058" s="38"/>
      <c r="U1058" s="38"/>
      <c r="X1058" s="38"/>
      <c r="AA1058" s="38"/>
      <c r="AD1058" s="38"/>
      <c r="AG1058" s="38"/>
      <c r="AJ1058" s="38"/>
      <c r="AM1058" s="38"/>
      <c r="AP1058" s="38"/>
    </row>
    <row r="1059" spans="9:42" x14ac:dyDescent="0.2">
      <c r="I1059" s="38"/>
      <c r="L1059" s="38"/>
      <c r="O1059" s="38"/>
      <c r="R1059" s="38"/>
      <c r="U1059" s="38"/>
      <c r="X1059" s="38"/>
      <c r="AA1059" s="38"/>
      <c r="AD1059" s="38"/>
      <c r="AG1059" s="38"/>
      <c r="AJ1059" s="38"/>
      <c r="AM1059" s="38"/>
      <c r="AP1059" s="38"/>
    </row>
    <row r="1060" spans="9:42" x14ac:dyDescent="0.2">
      <c r="I1060" s="38"/>
      <c r="L1060" s="38"/>
      <c r="O1060" s="38"/>
      <c r="R1060" s="38"/>
      <c r="U1060" s="38"/>
      <c r="X1060" s="38"/>
      <c r="AA1060" s="38"/>
      <c r="AD1060" s="38"/>
      <c r="AG1060" s="38"/>
      <c r="AJ1060" s="38"/>
      <c r="AM1060" s="38"/>
      <c r="AP1060" s="38"/>
    </row>
    <row r="1061" spans="9:42" x14ac:dyDescent="0.2">
      <c r="I1061" s="38"/>
      <c r="L1061" s="38"/>
      <c r="O1061" s="38"/>
      <c r="R1061" s="38"/>
      <c r="U1061" s="38"/>
      <c r="X1061" s="38"/>
      <c r="AA1061" s="38"/>
      <c r="AD1061" s="38"/>
      <c r="AG1061" s="38"/>
      <c r="AJ1061" s="38"/>
      <c r="AM1061" s="38"/>
      <c r="AP1061" s="38"/>
    </row>
    <row r="1062" spans="9:42" x14ac:dyDescent="0.2">
      <c r="I1062" s="38"/>
      <c r="L1062" s="38"/>
      <c r="O1062" s="38"/>
      <c r="R1062" s="38"/>
      <c r="U1062" s="38"/>
      <c r="X1062" s="38"/>
      <c r="AA1062" s="38"/>
      <c r="AD1062" s="38"/>
      <c r="AG1062" s="38"/>
      <c r="AJ1062" s="38"/>
      <c r="AM1062" s="38"/>
      <c r="AP1062" s="38"/>
    </row>
    <row r="1063" spans="9:42" x14ac:dyDescent="0.2">
      <c r="I1063" s="38"/>
      <c r="L1063" s="38"/>
      <c r="O1063" s="38"/>
      <c r="R1063" s="38"/>
      <c r="U1063" s="38"/>
      <c r="X1063" s="38"/>
      <c r="AA1063" s="38"/>
      <c r="AD1063" s="38"/>
      <c r="AG1063" s="38"/>
      <c r="AJ1063" s="38"/>
      <c r="AM1063" s="38"/>
      <c r="AP1063" s="38"/>
    </row>
    <row r="1064" spans="9:42" x14ac:dyDescent="0.2">
      <c r="I1064" s="38"/>
      <c r="L1064" s="38"/>
      <c r="O1064" s="38"/>
      <c r="R1064" s="38"/>
      <c r="U1064" s="38"/>
      <c r="X1064" s="38"/>
      <c r="AA1064" s="38"/>
      <c r="AD1064" s="38"/>
      <c r="AG1064" s="38"/>
      <c r="AJ1064" s="38"/>
      <c r="AM1064" s="38"/>
      <c r="AP1064" s="38"/>
    </row>
    <row r="1065" spans="9:42" x14ac:dyDescent="0.2">
      <c r="I1065" s="38"/>
      <c r="L1065" s="38"/>
      <c r="O1065" s="38"/>
      <c r="R1065" s="38"/>
      <c r="U1065" s="38"/>
      <c r="X1065" s="38"/>
      <c r="AA1065" s="38"/>
      <c r="AD1065" s="38"/>
      <c r="AG1065" s="38"/>
      <c r="AJ1065" s="38"/>
      <c r="AM1065" s="38"/>
      <c r="AP1065" s="38"/>
    </row>
    <row r="1066" spans="9:42" x14ac:dyDescent="0.2">
      <c r="I1066" s="38"/>
      <c r="L1066" s="38"/>
      <c r="O1066" s="38"/>
      <c r="R1066" s="38"/>
      <c r="U1066" s="38"/>
      <c r="X1066" s="38"/>
      <c r="AA1066" s="38"/>
      <c r="AD1066" s="38"/>
      <c r="AG1066" s="38"/>
      <c r="AJ1066" s="38"/>
      <c r="AM1066" s="38"/>
      <c r="AP1066" s="38"/>
    </row>
    <row r="1067" spans="9:42" x14ac:dyDescent="0.2">
      <c r="I1067" s="38"/>
      <c r="L1067" s="38"/>
      <c r="O1067" s="38"/>
      <c r="R1067" s="38"/>
      <c r="U1067" s="38"/>
      <c r="X1067" s="38"/>
      <c r="AA1067" s="38"/>
      <c r="AD1067" s="38"/>
      <c r="AG1067" s="38"/>
      <c r="AJ1067" s="38"/>
      <c r="AM1067" s="38"/>
      <c r="AP1067" s="38"/>
    </row>
    <row r="1068" spans="9:42" x14ac:dyDescent="0.2">
      <c r="I1068" s="38"/>
      <c r="L1068" s="38"/>
      <c r="O1068" s="38"/>
      <c r="R1068" s="38"/>
      <c r="U1068" s="38"/>
      <c r="X1068" s="38"/>
      <c r="AA1068" s="38"/>
      <c r="AD1068" s="38"/>
      <c r="AG1068" s="38"/>
      <c r="AJ1068" s="38"/>
      <c r="AM1068" s="38"/>
      <c r="AP1068" s="38"/>
    </row>
    <row r="1069" spans="9:42" x14ac:dyDescent="0.2">
      <c r="I1069" s="38"/>
      <c r="L1069" s="38"/>
      <c r="O1069" s="38"/>
      <c r="R1069" s="38"/>
      <c r="U1069" s="38"/>
      <c r="X1069" s="38"/>
      <c r="AA1069" s="38"/>
      <c r="AD1069" s="38"/>
      <c r="AG1069" s="38"/>
      <c r="AJ1069" s="38"/>
      <c r="AM1069" s="38"/>
      <c r="AP1069" s="38"/>
    </row>
    <row r="1070" spans="9:42" x14ac:dyDescent="0.2">
      <c r="I1070" s="38"/>
      <c r="L1070" s="38"/>
      <c r="O1070" s="38"/>
      <c r="R1070" s="38"/>
      <c r="U1070" s="38"/>
      <c r="X1070" s="38"/>
      <c r="AA1070" s="38"/>
      <c r="AD1070" s="38"/>
      <c r="AG1070" s="38"/>
      <c r="AJ1070" s="38"/>
      <c r="AM1070" s="38"/>
      <c r="AP1070" s="38"/>
    </row>
    <row r="1071" spans="9:42" x14ac:dyDescent="0.2">
      <c r="I1071" s="38"/>
      <c r="L1071" s="38"/>
      <c r="O1071" s="38"/>
      <c r="R1071" s="38"/>
      <c r="U1071" s="38"/>
      <c r="X1071" s="38"/>
      <c r="AA1071" s="38"/>
      <c r="AD1071" s="38"/>
      <c r="AG1071" s="38"/>
      <c r="AJ1071" s="38"/>
      <c r="AM1071" s="38"/>
      <c r="AP1071" s="38"/>
    </row>
    <row r="1072" spans="9:42" x14ac:dyDescent="0.2">
      <c r="I1072" s="38"/>
      <c r="L1072" s="38"/>
      <c r="O1072" s="38"/>
      <c r="R1072" s="38"/>
      <c r="U1072" s="38"/>
      <c r="X1072" s="38"/>
      <c r="AA1072" s="38"/>
      <c r="AD1072" s="38"/>
      <c r="AG1072" s="38"/>
      <c r="AJ1072" s="38"/>
      <c r="AM1072" s="38"/>
      <c r="AP1072" s="38"/>
    </row>
    <row r="1073" spans="9:42" x14ac:dyDescent="0.2">
      <c r="I1073" s="38"/>
      <c r="L1073" s="38"/>
      <c r="O1073" s="38"/>
      <c r="R1073" s="38"/>
      <c r="U1073" s="38"/>
      <c r="X1073" s="38"/>
      <c r="AA1073" s="38"/>
      <c r="AD1073" s="38"/>
      <c r="AG1073" s="38"/>
      <c r="AJ1073" s="38"/>
      <c r="AM1073" s="38"/>
      <c r="AP1073" s="38"/>
    </row>
    <row r="1074" spans="9:42" x14ac:dyDescent="0.2">
      <c r="I1074" s="38"/>
      <c r="L1074" s="38"/>
      <c r="O1074" s="38"/>
      <c r="R1074" s="38"/>
      <c r="U1074" s="38"/>
      <c r="X1074" s="38"/>
      <c r="AA1074" s="38"/>
      <c r="AD1074" s="38"/>
      <c r="AG1074" s="38"/>
      <c r="AJ1074" s="38"/>
      <c r="AM1074" s="38"/>
      <c r="AP1074" s="38"/>
    </row>
    <row r="1075" spans="9:42" x14ac:dyDescent="0.2">
      <c r="I1075" s="38"/>
      <c r="L1075" s="38"/>
      <c r="O1075" s="38"/>
      <c r="R1075" s="38"/>
      <c r="U1075" s="38"/>
      <c r="X1075" s="38"/>
      <c r="AA1075" s="38"/>
      <c r="AD1075" s="38"/>
      <c r="AG1075" s="38"/>
      <c r="AJ1075" s="38"/>
      <c r="AM1075" s="38"/>
      <c r="AP1075" s="38"/>
    </row>
    <row r="1076" spans="9:42" x14ac:dyDescent="0.2">
      <c r="I1076" s="38"/>
      <c r="L1076" s="38"/>
      <c r="O1076" s="38"/>
      <c r="R1076" s="38"/>
      <c r="U1076" s="38"/>
      <c r="X1076" s="38"/>
      <c r="AA1076" s="38"/>
      <c r="AD1076" s="38"/>
      <c r="AG1076" s="38"/>
      <c r="AJ1076" s="38"/>
      <c r="AM1076" s="38"/>
      <c r="AP1076" s="38"/>
    </row>
    <row r="1077" spans="9:42" x14ac:dyDescent="0.2">
      <c r="I1077" s="38"/>
      <c r="L1077" s="38"/>
      <c r="O1077" s="38"/>
      <c r="R1077" s="38"/>
      <c r="U1077" s="38"/>
      <c r="X1077" s="38"/>
      <c r="AA1077" s="38"/>
      <c r="AD1077" s="38"/>
      <c r="AG1077" s="38"/>
      <c r="AJ1077" s="38"/>
      <c r="AM1077" s="38"/>
      <c r="AP1077" s="38"/>
    </row>
    <row r="1078" spans="9:42" x14ac:dyDescent="0.2">
      <c r="I1078" s="38"/>
      <c r="L1078" s="38"/>
      <c r="O1078" s="38"/>
      <c r="R1078" s="38"/>
      <c r="U1078" s="38"/>
      <c r="X1078" s="38"/>
      <c r="AA1078" s="38"/>
      <c r="AD1078" s="38"/>
      <c r="AG1078" s="38"/>
      <c r="AJ1078" s="38"/>
      <c r="AM1078" s="38"/>
      <c r="AP1078" s="38"/>
    </row>
    <row r="1079" spans="9:42" x14ac:dyDescent="0.2">
      <c r="I1079" s="38"/>
      <c r="L1079" s="38"/>
      <c r="O1079" s="38"/>
      <c r="R1079" s="38"/>
      <c r="U1079" s="38"/>
      <c r="X1079" s="38"/>
      <c r="AA1079" s="38"/>
      <c r="AD1079" s="38"/>
      <c r="AG1079" s="38"/>
      <c r="AJ1079" s="38"/>
      <c r="AM1079" s="38"/>
      <c r="AP1079" s="38"/>
    </row>
    <row r="1080" spans="9:42" x14ac:dyDescent="0.2">
      <c r="I1080" s="38"/>
      <c r="L1080" s="38"/>
      <c r="O1080" s="38"/>
      <c r="R1080" s="38"/>
      <c r="U1080" s="38"/>
      <c r="X1080" s="38"/>
      <c r="AA1080" s="38"/>
      <c r="AD1080" s="38"/>
      <c r="AG1080" s="38"/>
      <c r="AJ1080" s="38"/>
      <c r="AM1080" s="38"/>
      <c r="AP1080" s="38"/>
    </row>
    <row r="1081" spans="9:42" x14ac:dyDescent="0.2">
      <c r="I1081" s="38"/>
      <c r="L1081" s="38"/>
      <c r="O1081" s="38"/>
      <c r="R1081" s="38"/>
      <c r="U1081" s="38"/>
      <c r="X1081" s="38"/>
      <c r="AA1081" s="38"/>
      <c r="AD1081" s="38"/>
      <c r="AG1081" s="38"/>
      <c r="AJ1081" s="38"/>
      <c r="AM1081" s="38"/>
      <c r="AP1081" s="38"/>
    </row>
    <row r="1082" spans="9:42" x14ac:dyDescent="0.2">
      <c r="I1082" s="38"/>
      <c r="L1082" s="38"/>
      <c r="O1082" s="38"/>
      <c r="R1082" s="38"/>
      <c r="U1082" s="38"/>
      <c r="X1082" s="38"/>
      <c r="AA1082" s="38"/>
      <c r="AD1082" s="38"/>
      <c r="AG1082" s="38"/>
      <c r="AJ1082" s="38"/>
      <c r="AM1082" s="38"/>
      <c r="AP1082" s="38"/>
    </row>
    <row r="1083" spans="9:42" x14ac:dyDescent="0.2">
      <c r="I1083" s="38"/>
      <c r="L1083" s="38"/>
      <c r="O1083" s="38"/>
      <c r="R1083" s="38"/>
      <c r="U1083" s="38"/>
      <c r="X1083" s="38"/>
      <c r="AA1083" s="38"/>
      <c r="AD1083" s="38"/>
      <c r="AG1083" s="38"/>
      <c r="AJ1083" s="38"/>
      <c r="AM1083" s="38"/>
      <c r="AP1083" s="38"/>
    </row>
    <row r="1084" spans="9:42" x14ac:dyDescent="0.2">
      <c r="I1084" s="38"/>
      <c r="L1084" s="38"/>
      <c r="O1084" s="38"/>
      <c r="R1084" s="38"/>
      <c r="U1084" s="38"/>
      <c r="X1084" s="38"/>
      <c r="AA1084" s="38"/>
      <c r="AD1084" s="38"/>
      <c r="AG1084" s="38"/>
      <c r="AJ1084" s="38"/>
      <c r="AM1084" s="38"/>
      <c r="AP1084" s="38"/>
    </row>
    <row r="1085" spans="9:42" x14ac:dyDescent="0.2">
      <c r="I1085" s="38"/>
      <c r="L1085" s="38"/>
      <c r="O1085" s="38"/>
      <c r="R1085" s="38"/>
      <c r="U1085" s="38"/>
      <c r="X1085" s="38"/>
      <c r="AA1085" s="38"/>
      <c r="AD1085" s="38"/>
      <c r="AG1085" s="38"/>
      <c r="AJ1085" s="38"/>
      <c r="AM1085" s="38"/>
      <c r="AP1085" s="38"/>
    </row>
    <row r="1086" spans="9:42" x14ac:dyDescent="0.2">
      <c r="I1086" s="38"/>
      <c r="L1086" s="38"/>
      <c r="O1086" s="38"/>
      <c r="R1086" s="38"/>
      <c r="U1086" s="38"/>
      <c r="X1086" s="38"/>
      <c r="AA1086" s="38"/>
      <c r="AD1086" s="38"/>
      <c r="AG1086" s="38"/>
      <c r="AJ1086" s="38"/>
      <c r="AM1086" s="38"/>
      <c r="AP1086" s="38"/>
    </row>
    <row r="1087" spans="9:42" x14ac:dyDescent="0.2">
      <c r="I1087" s="38"/>
      <c r="L1087" s="38"/>
      <c r="O1087" s="38"/>
      <c r="R1087" s="38"/>
      <c r="U1087" s="38"/>
      <c r="X1087" s="38"/>
      <c r="AA1087" s="38"/>
      <c r="AD1087" s="38"/>
      <c r="AG1087" s="38"/>
      <c r="AJ1087" s="38"/>
      <c r="AM1087" s="38"/>
      <c r="AP1087" s="38"/>
    </row>
    <row r="1088" spans="9:42" x14ac:dyDescent="0.2">
      <c r="I1088" s="38"/>
      <c r="L1088" s="38"/>
      <c r="O1088" s="38"/>
      <c r="R1088" s="38"/>
      <c r="U1088" s="38"/>
      <c r="X1088" s="38"/>
      <c r="AA1088" s="38"/>
      <c r="AD1088" s="38"/>
      <c r="AG1088" s="38"/>
      <c r="AJ1088" s="38"/>
      <c r="AM1088" s="38"/>
      <c r="AP1088" s="38"/>
    </row>
    <row r="1089" spans="9:42" x14ac:dyDescent="0.2">
      <c r="I1089" s="38"/>
      <c r="L1089" s="38"/>
      <c r="O1089" s="38"/>
      <c r="R1089" s="38"/>
      <c r="U1089" s="38"/>
      <c r="X1089" s="38"/>
      <c r="AA1089" s="38"/>
      <c r="AD1089" s="38"/>
      <c r="AG1089" s="38"/>
      <c r="AJ1089" s="38"/>
      <c r="AM1089" s="38"/>
      <c r="AP1089" s="38"/>
    </row>
    <row r="1090" spans="9:42" x14ac:dyDescent="0.2">
      <c r="I1090" s="38"/>
      <c r="L1090" s="38"/>
      <c r="O1090" s="38"/>
      <c r="R1090" s="38"/>
      <c r="U1090" s="38"/>
      <c r="X1090" s="38"/>
      <c r="AA1090" s="38"/>
      <c r="AD1090" s="38"/>
      <c r="AG1090" s="38"/>
      <c r="AJ1090" s="38"/>
      <c r="AM1090" s="38"/>
      <c r="AP1090" s="38"/>
    </row>
    <row r="1091" spans="9:42" x14ac:dyDescent="0.2">
      <c r="I1091" s="38"/>
      <c r="L1091" s="38"/>
      <c r="O1091" s="38"/>
      <c r="R1091" s="38"/>
      <c r="U1091" s="38"/>
      <c r="X1091" s="38"/>
      <c r="AA1091" s="38"/>
      <c r="AD1091" s="38"/>
      <c r="AG1091" s="38"/>
      <c r="AJ1091" s="38"/>
      <c r="AM1091" s="38"/>
      <c r="AP1091" s="38"/>
    </row>
    <row r="1092" spans="9:42" x14ac:dyDescent="0.2">
      <c r="I1092" s="38"/>
      <c r="L1092" s="38"/>
      <c r="O1092" s="38"/>
      <c r="R1092" s="38"/>
      <c r="U1092" s="38"/>
      <c r="X1092" s="38"/>
      <c r="AA1092" s="38"/>
      <c r="AD1092" s="38"/>
      <c r="AG1092" s="38"/>
      <c r="AJ1092" s="38"/>
      <c r="AM1092" s="38"/>
      <c r="AP1092" s="38"/>
    </row>
    <row r="1093" spans="9:42" x14ac:dyDescent="0.2">
      <c r="I1093" s="38"/>
      <c r="L1093" s="38"/>
      <c r="O1093" s="38"/>
      <c r="R1093" s="38"/>
      <c r="U1093" s="38"/>
      <c r="X1093" s="38"/>
      <c r="AA1093" s="38"/>
      <c r="AD1093" s="38"/>
      <c r="AG1093" s="38"/>
      <c r="AJ1093" s="38"/>
      <c r="AM1093" s="38"/>
      <c r="AP1093" s="38"/>
    </row>
    <row r="1094" spans="9:42" x14ac:dyDescent="0.2">
      <c r="I1094" s="38"/>
      <c r="L1094" s="38"/>
      <c r="O1094" s="38"/>
      <c r="R1094" s="38"/>
      <c r="U1094" s="38"/>
      <c r="X1094" s="38"/>
      <c r="AA1094" s="38"/>
      <c r="AD1094" s="38"/>
      <c r="AG1094" s="38"/>
      <c r="AJ1094" s="38"/>
      <c r="AM1094" s="38"/>
      <c r="AP1094" s="38"/>
    </row>
    <row r="1095" spans="9:42" x14ac:dyDescent="0.2">
      <c r="I1095" s="38"/>
      <c r="L1095" s="38"/>
      <c r="O1095" s="38"/>
      <c r="R1095" s="38"/>
      <c r="U1095" s="38"/>
      <c r="X1095" s="38"/>
      <c r="AA1095" s="38"/>
      <c r="AD1095" s="38"/>
      <c r="AG1095" s="38"/>
      <c r="AJ1095" s="38"/>
      <c r="AM1095" s="38"/>
      <c r="AP1095" s="38"/>
    </row>
    <row r="1096" spans="9:42" x14ac:dyDescent="0.2">
      <c r="I1096" s="38"/>
      <c r="L1096" s="38"/>
      <c r="O1096" s="38"/>
      <c r="R1096" s="38"/>
      <c r="U1096" s="38"/>
      <c r="X1096" s="38"/>
      <c r="AA1096" s="38"/>
      <c r="AD1096" s="38"/>
      <c r="AG1096" s="38"/>
      <c r="AJ1096" s="38"/>
      <c r="AM1096" s="38"/>
      <c r="AP1096" s="38"/>
    </row>
    <row r="1097" spans="9:42" x14ac:dyDescent="0.2">
      <c r="I1097" s="38"/>
      <c r="L1097" s="38"/>
      <c r="O1097" s="38"/>
      <c r="R1097" s="38"/>
      <c r="U1097" s="38"/>
      <c r="X1097" s="38"/>
      <c r="AA1097" s="38"/>
      <c r="AD1097" s="38"/>
      <c r="AG1097" s="38"/>
      <c r="AJ1097" s="38"/>
      <c r="AM1097" s="38"/>
      <c r="AP1097" s="38"/>
    </row>
    <row r="1098" spans="9:42" x14ac:dyDescent="0.2">
      <c r="I1098" s="38"/>
      <c r="L1098" s="38"/>
      <c r="O1098" s="38"/>
      <c r="R1098" s="38"/>
      <c r="U1098" s="38"/>
      <c r="X1098" s="38"/>
      <c r="AA1098" s="38"/>
      <c r="AD1098" s="38"/>
      <c r="AG1098" s="38"/>
      <c r="AJ1098" s="38"/>
      <c r="AM1098" s="38"/>
      <c r="AP1098" s="38"/>
    </row>
    <row r="1099" spans="9:42" x14ac:dyDescent="0.2">
      <c r="I1099" s="38"/>
      <c r="L1099" s="38"/>
      <c r="O1099" s="38"/>
      <c r="R1099" s="38"/>
      <c r="U1099" s="38"/>
      <c r="X1099" s="38"/>
      <c r="AA1099" s="38"/>
      <c r="AD1099" s="38"/>
      <c r="AG1099" s="38"/>
      <c r="AJ1099" s="38"/>
      <c r="AM1099" s="38"/>
      <c r="AP1099" s="38"/>
    </row>
    <row r="1100" spans="9:42" x14ac:dyDescent="0.2">
      <c r="I1100" s="38"/>
      <c r="L1100" s="38"/>
      <c r="O1100" s="38"/>
      <c r="R1100" s="38"/>
      <c r="U1100" s="38"/>
      <c r="X1100" s="38"/>
      <c r="AA1100" s="38"/>
      <c r="AD1100" s="38"/>
      <c r="AG1100" s="38"/>
      <c r="AJ1100" s="38"/>
      <c r="AM1100" s="38"/>
      <c r="AP1100" s="38"/>
    </row>
    <row r="1101" spans="9:42" x14ac:dyDescent="0.2">
      <c r="I1101" s="38"/>
      <c r="L1101" s="38"/>
      <c r="O1101" s="38"/>
      <c r="R1101" s="38"/>
      <c r="U1101" s="38"/>
      <c r="X1101" s="38"/>
      <c r="AA1101" s="38"/>
      <c r="AD1101" s="38"/>
      <c r="AG1101" s="38"/>
      <c r="AJ1101" s="38"/>
      <c r="AM1101" s="38"/>
      <c r="AP1101" s="38"/>
    </row>
    <row r="1102" spans="9:42" x14ac:dyDescent="0.2">
      <c r="I1102" s="38"/>
      <c r="L1102" s="38"/>
      <c r="O1102" s="38"/>
      <c r="R1102" s="38"/>
      <c r="U1102" s="38"/>
      <c r="X1102" s="38"/>
      <c r="AA1102" s="38"/>
      <c r="AD1102" s="38"/>
      <c r="AG1102" s="38"/>
      <c r="AJ1102" s="38"/>
      <c r="AM1102" s="38"/>
      <c r="AP1102" s="38"/>
    </row>
    <row r="1103" spans="9:42" x14ac:dyDescent="0.2">
      <c r="I1103" s="38"/>
      <c r="L1103" s="38"/>
      <c r="O1103" s="38"/>
      <c r="R1103" s="38"/>
      <c r="U1103" s="38"/>
      <c r="X1103" s="38"/>
      <c r="AA1103" s="38"/>
      <c r="AD1103" s="38"/>
      <c r="AG1103" s="38"/>
      <c r="AJ1103" s="38"/>
      <c r="AM1103" s="38"/>
      <c r="AP1103" s="38"/>
    </row>
    <row r="1104" spans="9:42" x14ac:dyDescent="0.2">
      <c r="I1104" s="38"/>
      <c r="L1104" s="38"/>
      <c r="O1104" s="38"/>
      <c r="R1104" s="38"/>
      <c r="U1104" s="38"/>
      <c r="X1104" s="38"/>
      <c r="AA1104" s="38"/>
      <c r="AD1104" s="38"/>
      <c r="AG1104" s="38"/>
      <c r="AJ1104" s="38"/>
      <c r="AM1104" s="38"/>
      <c r="AP1104" s="38"/>
    </row>
    <row r="1105" spans="9:42" x14ac:dyDescent="0.2">
      <c r="I1105" s="38"/>
      <c r="L1105" s="38"/>
      <c r="O1105" s="38"/>
      <c r="R1105" s="38"/>
      <c r="U1105" s="38"/>
      <c r="X1105" s="38"/>
      <c r="AA1105" s="38"/>
      <c r="AD1105" s="38"/>
      <c r="AG1105" s="38"/>
      <c r="AJ1105" s="38"/>
      <c r="AM1105" s="38"/>
      <c r="AP1105" s="38"/>
    </row>
    <row r="1106" spans="9:42" x14ac:dyDescent="0.2">
      <c r="I1106" s="38"/>
      <c r="L1106" s="38"/>
      <c r="O1106" s="38"/>
      <c r="R1106" s="38"/>
      <c r="U1106" s="38"/>
      <c r="X1106" s="38"/>
      <c r="AA1106" s="38"/>
      <c r="AD1106" s="38"/>
      <c r="AG1106" s="38"/>
      <c r="AJ1106" s="38"/>
      <c r="AM1106" s="38"/>
      <c r="AP1106" s="38"/>
    </row>
    <row r="1107" spans="9:42" x14ac:dyDescent="0.2">
      <c r="I1107" s="38"/>
      <c r="L1107" s="38"/>
      <c r="O1107" s="38"/>
      <c r="R1107" s="38"/>
      <c r="U1107" s="38"/>
      <c r="X1107" s="38"/>
      <c r="AA1107" s="38"/>
      <c r="AD1107" s="38"/>
      <c r="AG1107" s="38"/>
      <c r="AJ1107" s="38"/>
      <c r="AM1107" s="38"/>
      <c r="AP1107" s="38"/>
    </row>
    <row r="1108" spans="9:42" x14ac:dyDescent="0.2">
      <c r="I1108" s="38"/>
      <c r="L1108" s="38"/>
      <c r="O1108" s="38"/>
      <c r="R1108" s="38"/>
      <c r="U1108" s="38"/>
      <c r="X1108" s="38"/>
      <c r="AA1108" s="38"/>
      <c r="AD1108" s="38"/>
      <c r="AG1108" s="38"/>
      <c r="AJ1108" s="38"/>
      <c r="AM1108" s="38"/>
      <c r="AP1108" s="38"/>
    </row>
    <row r="1109" spans="9:42" x14ac:dyDescent="0.2">
      <c r="I1109" s="38"/>
      <c r="L1109" s="38"/>
      <c r="O1109" s="38"/>
      <c r="R1109" s="38"/>
      <c r="U1109" s="38"/>
      <c r="X1109" s="38"/>
      <c r="AA1109" s="38"/>
      <c r="AD1109" s="38"/>
      <c r="AG1109" s="38"/>
      <c r="AJ1109" s="38"/>
      <c r="AM1109" s="38"/>
      <c r="AP1109" s="38"/>
    </row>
    <row r="1110" spans="9:42" x14ac:dyDescent="0.2">
      <c r="I1110" s="38"/>
      <c r="L1110" s="38"/>
      <c r="O1110" s="38"/>
      <c r="R1110" s="38"/>
      <c r="U1110" s="38"/>
      <c r="X1110" s="38"/>
      <c r="AA1110" s="38"/>
      <c r="AD1110" s="38"/>
      <c r="AG1110" s="38"/>
      <c r="AJ1110" s="38"/>
      <c r="AM1110" s="38"/>
      <c r="AP1110" s="38"/>
    </row>
    <row r="1111" spans="9:42" x14ac:dyDescent="0.2">
      <c r="I1111" s="38"/>
      <c r="L1111" s="38"/>
      <c r="O1111" s="38"/>
      <c r="R1111" s="38"/>
      <c r="U1111" s="38"/>
      <c r="X1111" s="38"/>
      <c r="AA1111" s="38"/>
      <c r="AD1111" s="38"/>
      <c r="AG1111" s="38"/>
      <c r="AJ1111" s="38"/>
      <c r="AM1111" s="38"/>
      <c r="AP1111" s="38"/>
    </row>
    <row r="1112" spans="9:42" x14ac:dyDescent="0.2">
      <c r="I1112" s="38"/>
      <c r="L1112" s="38"/>
      <c r="O1112" s="38"/>
      <c r="R1112" s="38"/>
      <c r="U1112" s="38"/>
      <c r="X1112" s="38"/>
      <c r="AA1112" s="38"/>
      <c r="AD1112" s="38"/>
      <c r="AG1112" s="38"/>
      <c r="AJ1112" s="38"/>
      <c r="AM1112" s="38"/>
      <c r="AP1112" s="38"/>
    </row>
    <row r="1113" spans="9:42" x14ac:dyDescent="0.2">
      <c r="I1113" s="38"/>
      <c r="L1113" s="38"/>
      <c r="O1113" s="38"/>
      <c r="R1113" s="38"/>
      <c r="U1113" s="38"/>
      <c r="X1113" s="38"/>
      <c r="AA1113" s="38"/>
      <c r="AD1113" s="38"/>
      <c r="AG1113" s="38"/>
      <c r="AJ1113" s="38"/>
      <c r="AM1113" s="38"/>
      <c r="AP1113" s="38"/>
    </row>
    <row r="1114" spans="9:42" x14ac:dyDescent="0.2">
      <c r="I1114" s="38"/>
      <c r="L1114" s="38"/>
      <c r="O1114" s="38"/>
      <c r="R1114" s="38"/>
      <c r="U1114" s="38"/>
      <c r="X1114" s="38"/>
      <c r="AA1114" s="38"/>
      <c r="AD1114" s="38"/>
      <c r="AG1114" s="38"/>
      <c r="AJ1114" s="38"/>
      <c r="AM1114" s="38"/>
      <c r="AP1114" s="38"/>
    </row>
    <row r="1115" spans="9:42" x14ac:dyDescent="0.2">
      <c r="I1115" s="38"/>
      <c r="L1115" s="38"/>
      <c r="O1115" s="38"/>
      <c r="R1115" s="38"/>
      <c r="U1115" s="38"/>
      <c r="X1115" s="38"/>
      <c r="AA1115" s="38"/>
      <c r="AD1115" s="38"/>
      <c r="AG1115" s="38"/>
      <c r="AJ1115" s="38"/>
      <c r="AM1115" s="38"/>
      <c r="AP1115" s="38"/>
    </row>
    <row r="1116" spans="9:42" x14ac:dyDescent="0.2">
      <c r="I1116" s="38"/>
      <c r="L1116" s="38"/>
      <c r="O1116" s="38"/>
      <c r="R1116" s="38"/>
      <c r="U1116" s="38"/>
      <c r="X1116" s="38"/>
      <c r="AA1116" s="38"/>
      <c r="AD1116" s="38"/>
      <c r="AG1116" s="38"/>
      <c r="AJ1116" s="38"/>
      <c r="AM1116" s="38"/>
      <c r="AP1116" s="38"/>
    </row>
    <row r="1117" spans="9:42" x14ac:dyDescent="0.2">
      <c r="I1117" s="38"/>
      <c r="L1117" s="38"/>
      <c r="O1117" s="38"/>
      <c r="R1117" s="38"/>
      <c r="U1117" s="38"/>
      <c r="X1117" s="38"/>
      <c r="AA1117" s="38"/>
      <c r="AD1117" s="38"/>
      <c r="AG1117" s="38"/>
      <c r="AJ1117" s="38"/>
      <c r="AM1117" s="38"/>
      <c r="AP1117" s="38"/>
    </row>
    <row r="1118" spans="9:42" x14ac:dyDescent="0.2">
      <c r="I1118" s="38"/>
      <c r="L1118" s="38"/>
      <c r="O1118" s="38"/>
      <c r="R1118" s="38"/>
      <c r="U1118" s="38"/>
      <c r="X1118" s="38"/>
      <c r="AA1118" s="38"/>
      <c r="AD1118" s="38"/>
      <c r="AG1118" s="38"/>
      <c r="AJ1118" s="38"/>
      <c r="AM1118" s="38"/>
      <c r="AP1118" s="38"/>
    </row>
    <row r="1119" spans="9:42" x14ac:dyDescent="0.2">
      <c r="I1119" s="38"/>
      <c r="L1119" s="38"/>
      <c r="O1119" s="38"/>
      <c r="R1119" s="38"/>
      <c r="U1119" s="38"/>
      <c r="X1119" s="38"/>
      <c r="AA1119" s="38"/>
      <c r="AD1119" s="38"/>
      <c r="AG1119" s="38"/>
      <c r="AJ1119" s="38"/>
      <c r="AM1119" s="38"/>
      <c r="AP1119" s="38"/>
    </row>
    <row r="1120" spans="9:42" x14ac:dyDescent="0.2">
      <c r="I1120" s="38"/>
      <c r="L1120" s="38"/>
      <c r="O1120" s="38"/>
      <c r="R1120" s="38"/>
      <c r="U1120" s="38"/>
      <c r="X1120" s="38"/>
      <c r="AA1120" s="38"/>
      <c r="AD1120" s="38"/>
      <c r="AG1120" s="38"/>
      <c r="AJ1120" s="38"/>
      <c r="AM1120" s="38"/>
      <c r="AP1120" s="38"/>
    </row>
    <row r="1121" spans="9:42" x14ac:dyDescent="0.2">
      <c r="I1121" s="38"/>
      <c r="L1121" s="38"/>
      <c r="O1121" s="38"/>
      <c r="R1121" s="38"/>
      <c r="U1121" s="38"/>
      <c r="X1121" s="38"/>
      <c r="AA1121" s="38"/>
      <c r="AD1121" s="38"/>
      <c r="AG1121" s="38"/>
      <c r="AJ1121" s="38"/>
      <c r="AM1121" s="38"/>
      <c r="AP1121" s="38"/>
    </row>
    <row r="1122" spans="9:42" x14ac:dyDescent="0.2">
      <c r="I1122" s="38"/>
      <c r="L1122" s="38"/>
      <c r="O1122" s="38"/>
      <c r="R1122" s="38"/>
      <c r="U1122" s="38"/>
      <c r="X1122" s="38"/>
      <c r="AA1122" s="38"/>
      <c r="AD1122" s="38"/>
      <c r="AG1122" s="38"/>
      <c r="AJ1122" s="38"/>
      <c r="AM1122" s="38"/>
      <c r="AP1122" s="38"/>
    </row>
    <row r="1123" spans="9:42" x14ac:dyDescent="0.2">
      <c r="I1123" s="38"/>
      <c r="L1123" s="38"/>
      <c r="O1123" s="38"/>
      <c r="R1123" s="38"/>
      <c r="U1123" s="38"/>
      <c r="X1123" s="38"/>
      <c r="AA1123" s="38"/>
      <c r="AD1123" s="38"/>
      <c r="AG1123" s="38"/>
      <c r="AJ1123" s="38"/>
      <c r="AM1123" s="38"/>
      <c r="AP1123" s="38"/>
    </row>
    <row r="1124" spans="9:42" x14ac:dyDescent="0.2">
      <c r="I1124" s="38"/>
      <c r="L1124" s="38"/>
      <c r="O1124" s="38"/>
      <c r="R1124" s="38"/>
      <c r="U1124" s="38"/>
      <c r="X1124" s="38"/>
      <c r="AA1124" s="38"/>
      <c r="AD1124" s="38"/>
      <c r="AG1124" s="38"/>
      <c r="AJ1124" s="38"/>
      <c r="AM1124" s="38"/>
      <c r="AP1124" s="38"/>
    </row>
    <row r="1125" spans="9:42" x14ac:dyDescent="0.2">
      <c r="I1125" s="38"/>
      <c r="L1125" s="38"/>
      <c r="O1125" s="38"/>
      <c r="R1125" s="38"/>
      <c r="U1125" s="38"/>
      <c r="X1125" s="38"/>
      <c r="AA1125" s="38"/>
      <c r="AD1125" s="38"/>
      <c r="AG1125" s="38"/>
      <c r="AJ1125" s="38"/>
      <c r="AM1125" s="38"/>
      <c r="AP1125" s="38"/>
    </row>
    <row r="1126" spans="9:42" x14ac:dyDescent="0.2">
      <c r="I1126" s="38"/>
      <c r="L1126" s="38"/>
      <c r="O1126" s="38"/>
      <c r="R1126" s="38"/>
      <c r="U1126" s="38"/>
      <c r="X1126" s="38"/>
      <c r="AA1126" s="38"/>
      <c r="AD1126" s="38"/>
      <c r="AG1126" s="38"/>
      <c r="AJ1126" s="38"/>
      <c r="AM1126" s="38"/>
      <c r="AP1126" s="38"/>
    </row>
    <row r="1127" spans="9:42" x14ac:dyDescent="0.2">
      <c r="I1127" s="38"/>
      <c r="L1127" s="38"/>
      <c r="O1127" s="38"/>
      <c r="R1127" s="38"/>
      <c r="U1127" s="38"/>
      <c r="X1127" s="38"/>
      <c r="AA1127" s="38"/>
      <c r="AD1127" s="38"/>
      <c r="AG1127" s="38"/>
      <c r="AJ1127" s="38"/>
      <c r="AM1127" s="38"/>
      <c r="AP1127" s="38"/>
    </row>
    <row r="1128" spans="9:42" x14ac:dyDescent="0.2">
      <c r="I1128" s="38"/>
      <c r="L1128" s="38"/>
      <c r="O1128" s="38"/>
      <c r="R1128" s="38"/>
      <c r="U1128" s="38"/>
      <c r="X1128" s="38"/>
      <c r="AA1128" s="38"/>
      <c r="AD1128" s="38"/>
      <c r="AG1128" s="38"/>
      <c r="AJ1128" s="38"/>
      <c r="AM1128" s="38"/>
      <c r="AP1128" s="38"/>
    </row>
    <row r="1129" spans="9:42" x14ac:dyDescent="0.2">
      <c r="I1129" s="38"/>
      <c r="L1129" s="38"/>
      <c r="O1129" s="38"/>
      <c r="R1129" s="38"/>
      <c r="U1129" s="38"/>
      <c r="X1129" s="38"/>
      <c r="AA1129" s="38"/>
      <c r="AD1129" s="38"/>
      <c r="AG1129" s="38"/>
      <c r="AJ1129" s="38"/>
      <c r="AM1129" s="38"/>
      <c r="AP1129" s="38"/>
    </row>
    <row r="1130" spans="9:42" x14ac:dyDescent="0.2">
      <c r="I1130" s="38"/>
      <c r="L1130" s="38"/>
      <c r="O1130" s="38"/>
      <c r="R1130" s="38"/>
      <c r="U1130" s="38"/>
      <c r="X1130" s="38"/>
      <c r="AA1130" s="38"/>
      <c r="AD1130" s="38"/>
      <c r="AG1130" s="38"/>
      <c r="AJ1130" s="38"/>
      <c r="AM1130" s="38"/>
      <c r="AP1130" s="38"/>
    </row>
    <row r="1131" spans="9:42" x14ac:dyDescent="0.2">
      <c r="I1131" s="38"/>
      <c r="L1131" s="38"/>
      <c r="O1131" s="38"/>
      <c r="R1131" s="38"/>
      <c r="U1131" s="38"/>
      <c r="X1131" s="38"/>
      <c r="AA1131" s="38"/>
      <c r="AD1131" s="38"/>
      <c r="AG1131" s="38"/>
      <c r="AJ1131" s="38"/>
      <c r="AM1131" s="38"/>
      <c r="AP1131" s="38"/>
    </row>
    <row r="1132" spans="9:42" x14ac:dyDescent="0.2">
      <c r="I1132" s="38"/>
      <c r="L1132" s="38"/>
      <c r="O1132" s="38"/>
      <c r="R1132" s="38"/>
      <c r="U1132" s="38"/>
      <c r="X1132" s="38"/>
      <c r="AA1132" s="38"/>
      <c r="AD1132" s="38"/>
      <c r="AG1132" s="38"/>
      <c r="AJ1132" s="38"/>
      <c r="AM1132" s="38"/>
      <c r="AP1132" s="38"/>
    </row>
    <row r="1133" spans="9:42" x14ac:dyDescent="0.2">
      <c r="I1133" s="38"/>
      <c r="L1133" s="38"/>
      <c r="O1133" s="38"/>
      <c r="R1133" s="38"/>
      <c r="U1133" s="38"/>
      <c r="X1133" s="38"/>
      <c r="AA1133" s="38"/>
      <c r="AD1133" s="38"/>
      <c r="AG1133" s="38"/>
      <c r="AJ1133" s="38"/>
      <c r="AM1133" s="38"/>
      <c r="AP1133" s="38"/>
    </row>
    <row r="1134" spans="9:42" x14ac:dyDescent="0.2">
      <c r="I1134" s="38"/>
      <c r="L1134" s="38"/>
      <c r="O1134" s="38"/>
      <c r="R1134" s="38"/>
      <c r="U1134" s="38"/>
      <c r="X1134" s="38"/>
      <c r="AA1134" s="38"/>
      <c r="AD1134" s="38"/>
      <c r="AG1134" s="38"/>
      <c r="AJ1134" s="38"/>
      <c r="AM1134" s="38"/>
      <c r="AP1134" s="38"/>
    </row>
    <row r="1135" spans="9:42" x14ac:dyDescent="0.2">
      <c r="I1135" s="38"/>
      <c r="L1135" s="38"/>
      <c r="O1135" s="38"/>
      <c r="R1135" s="38"/>
      <c r="U1135" s="38"/>
      <c r="X1135" s="38"/>
      <c r="AA1135" s="38"/>
      <c r="AD1135" s="38"/>
      <c r="AG1135" s="38"/>
      <c r="AJ1135" s="38"/>
      <c r="AM1135" s="38"/>
      <c r="AP1135" s="38"/>
    </row>
    <row r="1136" spans="9:42" x14ac:dyDescent="0.2">
      <c r="I1136" s="38"/>
      <c r="L1136" s="38"/>
      <c r="O1136" s="38"/>
      <c r="R1136" s="38"/>
      <c r="U1136" s="38"/>
      <c r="X1136" s="38"/>
      <c r="AA1136" s="38"/>
      <c r="AD1136" s="38"/>
      <c r="AG1136" s="38"/>
      <c r="AJ1136" s="38"/>
      <c r="AM1136" s="38"/>
      <c r="AP1136" s="38"/>
    </row>
    <row r="1137" spans="9:42" x14ac:dyDescent="0.2">
      <c r="I1137" s="38"/>
      <c r="L1137" s="38"/>
      <c r="O1137" s="38"/>
      <c r="R1137" s="38"/>
      <c r="U1137" s="38"/>
      <c r="X1137" s="38"/>
      <c r="AA1137" s="38"/>
      <c r="AD1137" s="38"/>
      <c r="AG1137" s="38"/>
      <c r="AJ1137" s="38"/>
      <c r="AM1137" s="38"/>
      <c r="AP1137" s="38"/>
    </row>
    <row r="1138" spans="9:42" x14ac:dyDescent="0.2">
      <c r="I1138" s="38"/>
      <c r="L1138" s="38"/>
      <c r="O1138" s="38"/>
      <c r="R1138" s="38"/>
      <c r="U1138" s="38"/>
      <c r="X1138" s="38"/>
      <c r="AA1138" s="38"/>
      <c r="AD1138" s="38"/>
      <c r="AG1138" s="38"/>
      <c r="AJ1138" s="38"/>
      <c r="AM1138" s="38"/>
      <c r="AP1138" s="38"/>
    </row>
    <row r="1139" spans="9:42" x14ac:dyDescent="0.2">
      <c r="I1139" s="38"/>
      <c r="L1139" s="38"/>
      <c r="O1139" s="38"/>
      <c r="R1139" s="38"/>
      <c r="U1139" s="38"/>
      <c r="X1139" s="38"/>
      <c r="AA1139" s="38"/>
      <c r="AD1139" s="38"/>
      <c r="AG1139" s="38"/>
      <c r="AJ1139" s="38"/>
      <c r="AM1139" s="38"/>
      <c r="AP1139" s="38"/>
    </row>
    <row r="1140" spans="9:42" x14ac:dyDescent="0.2">
      <c r="I1140" s="38"/>
      <c r="L1140" s="38"/>
      <c r="O1140" s="38"/>
      <c r="R1140" s="38"/>
      <c r="U1140" s="38"/>
      <c r="X1140" s="38"/>
      <c r="AA1140" s="38"/>
      <c r="AD1140" s="38"/>
      <c r="AG1140" s="38"/>
      <c r="AJ1140" s="38"/>
      <c r="AM1140" s="38"/>
      <c r="AP1140" s="38"/>
    </row>
    <row r="1141" spans="9:42" x14ac:dyDescent="0.2">
      <c r="I1141" s="38"/>
      <c r="L1141" s="38"/>
      <c r="O1141" s="38"/>
      <c r="R1141" s="38"/>
      <c r="U1141" s="38"/>
      <c r="X1141" s="38"/>
      <c r="AA1141" s="38"/>
      <c r="AD1141" s="38"/>
      <c r="AG1141" s="38"/>
      <c r="AJ1141" s="38"/>
      <c r="AM1141" s="38"/>
      <c r="AP1141" s="38"/>
    </row>
    <row r="1142" spans="9:42" x14ac:dyDescent="0.2">
      <c r="I1142" s="38"/>
      <c r="L1142" s="38"/>
      <c r="O1142" s="38"/>
      <c r="R1142" s="38"/>
      <c r="U1142" s="38"/>
      <c r="X1142" s="38"/>
      <c r="AA1142" s="38"/>
      <c r="AD1142" s="38"/>
      <c r="AG1142" s="38"/>
      <c r="AJ1142" s="38"/>
      <c r="AM1142" s="38"/>
      <c r="AP1142" s="38"/>
    </row>
    <row r="1143" spans="9:42" x14ac:dyDescent="0.2">
      <c r="I1143" s="38"/>
      <c r="L1143" s="38"/>
      <c r="O1143" s="38"/>
      <c r="R1143" s="38"/>
      <c r="U1143" s="38"/>
      <c r="X1143" s="38"/>
      <c r="AA1143" s="38"/>
      <c r="AD1143" s="38"/>
      <c r="AG1143" s="38"/>
      <c r="AJ1143" s="38"/>
      <c r="AM1143" s="38"/>
      <c r="AP1143" s="38"/>
    </row>
    <row r="1144" spans="9:42" x14ac:dyDescent="0.2">
      <c r="I1144" s="38"/>
      <c r="L1144" s="38"/>
      <c r="O1144" s="38"/>
      <c r="R1144" s="38"/>
      <c r="U1144" s="38"/>
      <c r="X1144" s="38"/>
      <c r="AA1144" s="38"/>
      <c r="AD1144" s="38"/>
      <c r="AG1144" s="38"/>
      <c r="AJ1144" s="38"/>
      <c r="AM1144" s="38"/>
      <c r="AP1144" s="38"/>
    </row>
    <row r="1145" spans="9:42" x14ac:dyDescent="0.2">
      <c r="I1145" s="38"/>
      <c r="L1145" s="38"/>
      <c r="O1145" s="38"/>
      <c r="R1145" s="38"/>
      <c r="U1145" s="38"/>
      <c r="X1145" s="38"/>
      <c r="AA1145" s="38"/>
      <c r="AD1145" s="38"/>
      <c r="AG1145" s="38"/>
      <c r="AJ1145" s="38"/>
      <c r="AM1145" s="38"/>
      <c r="AP1145" s="38"/>
    </row>
    <row r="1146" spans="9:42" x14ac:dyDescent="0.2">
      <c r="I1146" s="38"/>
      <c r="L1146" s="38"/>
      <c r="O1146" s="38"/>
      <c r="R1146" s="38"/>
      <c r="U1146" s="38"/>
      <c r="X1146" s="38"/>
      <c r="AA1146" s="38"/>
      <c r="AD1146" s="38"/>
      <c r="AG1146" s="38"/>
      <c r="AJ1146" s="38"/>
      <c r="AM1146" s="38"/>
      <c r="AP1146" s="38"/>
    </row>
    <row r="1147" spans="9:42" x14ac:dyDescent="0.2">
      <c r="I1147" s="38"/>
      <c r="L1147" s="38"/>
      <c r="O1147" s="38"/>
      <c r="R1147" s="38"/>
      <c r="U1147" s="38"/>
      <c r="X1147" s="38"/>
      <c r="AA1147" s="38"/>
      <c r="AD1147" s="38"/>
      <c r="AG1147" s="38"/>
      <c r="AJ1147" s="38"/>
      <c r="AM1147" s="38"/>
      <c r="AP1147" s="38"/>
    </row>
    <row r="1148" spans="9:42" x14ac:dyDescent="0.2">
      <c r="I1148" s="38"/>
      <c r="L1148" s="38"/>
      <c r="O1148" s="38"/>
      <c r="R1148" s="38"/>
      <c r="U1148" s="38"/>
      <c r="X1148" s="38"/>
      <c r="AA1148" s="38"/>
      <c r="AD1148" s="38"/>
      <c r="AG1148" s="38"/>
      <c r="AJ1148" s="38"/>
      <c r="AM1148" s="38"/>
      <c r="AP1148" s="38"/>
    </row>
    <row r="1149" spans="9:42" x14ac:dyDescent="0.2">
      <c r="I1149" s="38"/>
      <c r="L1149" s="38"/>
      <c r="O1149" s="38"/>
      <c r="R1149" s="38"/>
      <c r="U1149" s="38"/>
      <c r="X1149" s="38"/>
      <c r="AA1149" s="38"/>
      <c r="AD1149" s="38"/>
      <c r="AG1149" s="38"/>
      <c r="AJ1149" s="38"/>
      <c r="AM1149" s="38"/>
      <c r="AP1149" s="38"/>
    </row>
    <row r="1150" spans="9:42" x14ac:dyDescent="0.2">
      <c r="I1150" s="38"/>
      <c r="L1150" s="38"/>
      <c r="O1150" s="38"/>
      <c r="R1150" s="38"/>
      <c r="U1150" s="38"/>
      <c r="X1150" s="38"/>
      <c r="AA1150" s="38"/>
      <c r="AD1150" s="38"/>
      <c r="AG1150" s="38"/>
      <c r="AJ1150" s="38"/>
      <c r="AM1150" s="38"/>
      <c r="AP1150" s="38"/>
    </row>
    <row r="1151" spans="9:42" x14ac:dyDescent="0.2">
      <c r="I1151" s="38"/>
      <c r="L1151" s="38"/>
      <c r="O1151" s="38"/>
      <c r="R1151" s="38"/>
      <c r="U1151" s="38"/>
      <c r="X1151" s="38"/>
      <c r="AA1151" s="38"/>
      <c r="AD1151" s="38"/>
      <c r="AG1151" s="38"/>
      <c r="AJ1151" s="38"/>
      <c r="AM1151" s="38"/>
      <c r="AP1151" s="38"/>
    </row>
    <row r="1152" spans="9:42" x14ac:dyDescent="0.2">
      <c r="I1152" s="38"/>
      <c r="L1152" s="38"/>
      <c r="O1152" s="38"/>
      <c r="R1152" s="38"/>
      <c r="U1152" s="38"/>
      <c r="X1152" s="38"/>
      <c r="AA1152" s="38"/>
      <c r="AD1152" s="38"/>
      <c r="AG1152" s="38"/>
      <c r="AJ1152" s="38"/>
      <c r="AM1152" s="38"/>
      <c r="AP1152" s="38"/>
    </row>
    <row r="1153" spans="9:42" x14ac:dyDescent="0.2">
      <c r="I1153" s="38"/>
      <c r="L1153" s="38"/>
      <c r="O1153" s="38"/>
      <c r="R1153" s="38"/>
      <c r="U1153" s="38"/>
      <c r="X1153" s="38"/>
      <c r="AA1153" s="38"/>
      <c r="AD1153" s="38"/>
      <c r="AG1153" s="38"/>
      <c r="AJ1153" s="38"/>
      <c r="AM1153" s="38"/>
      <c r="AP1153" s="38"/>
    </row>
    <row r="1154" spans="9:42" x14ac:dyDescent="0.2">
      <c r="I1154" s="38"/>
      <c r="L1154" s="38"/>
      <c r="O1154" s="38"/>
      <c r="R1154" s="38"/>
      <c r="U1154" s="38"/>
      <c r="X1154" s="38"/>
      <c r="AA1154" s="38"/>
      <c r="AD1154" s="38"/>
      <c r="AG1154" s="38"/>
      <c r="AJ1154" s="38"/>
      <c r="AM1154" s="38"/>
      <c r="AP1154" s="38"/>
    </row>
    <row r="1155" spans="9:42" x14ac:dyDescent="0.2">
      <c r="I1155" s="38"/>
      <c r="L1155" s="38"/>
      <c r="O1155" s="38"/>
      <c r="R1155" s="38"/>
      <c r="U1155" s="38"/>
      <c r="X1155" s="38"/>
      <c r="AA1155" s="38"/>
      <c r="AD1155" s="38"/>
      <c r="AG1155" s="38"/>
      <c r="AJ1155" s="38"/>
      <c r="AM1155" s="38"/>
      <c r="AP1155" s="38"/>
    </row>
    <row r="1156" spans="9:42" x14ac:dyDescent="0.2">
      <c r="I1156" s="38"/>
      <c r="L1156" s="38"/>
      <c r="O1156" s="38"/>
      <c r="R1156" s="38"/>
      <c r="U1156" s="38"/>
      <c r="X1156" s="38"/>
      <c r="AA1156" s="38"/>
      <c r="AD1156" s="38"/>
      <c r="AG1156" s="38"/>
      <c r="AJ1156" s="38"/>
      <c r="AM1156" s="38"/>
      <c r="AP1156" s="38"/>
    </row>
    <row r="1157" spans="9:42" x14ac:dyDescent="0.2">
      <c r="I1157" s="38"/>
      <c r="L1157" s="38"/>
      <c r="O1157" s="38"/>
      <c r="R1157" s="38"/>
      <c r="U1157" s="38"/>
      <c r="X1157" s="38"/>
      <c r="AA1157" s="38"/>
      <c r="AD1157" s="38"/>
      <c r="AG1157" s="38"/>
      <c r="AJ1157" s="38"/>
      <c r="AM1157" s="38"/>
      <c r="AP1157" s="38"/>
    </row>
    <row r="1158" spans="9:42" x14ac:dyDescent="0.2">
      <c r="I1158" s="38"/>
      <c r="L1158" s="38"/>
      <c r="O1158" s="38"/>
      <c r="R1158" s="38"/>
      <c r="U1158" s="38"/>
      <c r="X1158" s="38"/>
      <c r="AA1158" s="38"/>
      <c r="AD1158" s="38"/>
      <c r="AG1158" s="38"/>
      <c r="AJ1158" s="38"/>
      <c r="AM1158" s="38"/>
      <c r="AP1158" s="38"/>
    </row>
    <row r="1159" spans="9:42" x14ac:dyDescent="0.2">
      <c r="I1159" s="38"/>
      <c r="L1159" s="38"/>
      <c r="O1159" s="38"/>
      <c r="R1159" s="38"/>
      <c r="U1159" s="38"/>
      <c r="X1159" s="38"/>
      <c r="AA1159" s="38"/>
      <c r="AD1159" s="38"/>
      <c r="AG1159" s="38"/>
      <c r="AJ1159" s="38"/>
      <c r="AM1159" s="38"/>
      <c r="AP1159" s="38"/>
    </row>
    <row r="1160" spans="9:42" x14ac:dyDescent="0.2">
      <c r="I1160" s="38"/>
      <c r="L1160" s="38"/>
      <c r="O1160" s="38"/>
      <c r="R1160" s="38"/>
      <c r="U1160" s="38"/>
      <c r="X1160" s="38"/>
      <c r="AA1160" s="38"/>
      <c r="AD1160" s="38"/>
      <c r="AG1160" s="38"/>
      <c r="AJ1160" s="38"/>
      <c r="AM1160" s="38"/>
      <c r="AP1160" s="38"/>
    </row>
    <row r="1161" spans="9:42" x14ac:dyDescent="0.2">
      <c r="I1161" s="38"/>
      <c r="L1161" s="38"/>
      <c r="O1161" s="38"/>
      <c r="R1161" s="38"/>
      <c r="U1161" s="38"/>
      <c r="X1161" s="38"/>
      <c r="AA1161" s="38"/>
      <c r="AD1161" s="38"/>
      <c r="AG1161" s="38"/>
      <c r="AJ1161" s="38"/>
      <c r="AM1161" s="38"/>
      <c r="AP1161" s="38"/>
    </row>
    <row r="1162" spans="9:42" x14ac:dyDescent="0.2">
      <c r="I1162" s="38"/>
      <c r="L1162" s="38"/>
      <c r="O1162" s="38"/>
      <c r="R1162" s="38"/>
      <c r="U1162" s="38"/>
      <c r="X1162" s="38"/>
      <c r="AA1162" s="38"/>
      <c r="AD1162" s="38"/>
      <c r="AG1162" s="38"/>
      <c r="AJ1162" s="38"/>
      <c r="AM1162" s="38"/>
      <c r="AP1162" s="38"/>
    </row>
    <row r="1163" spans="9:42" x14ac:dyDescent="0.2">
      <c r="I1163" s="38"/>
      <c r="L1163" s="38"/>
      <c r="O1163" s="38"/>
      <c r="R1163" s="38"/>
      <c r="U1163" s="38"/>
      <c r="X1163" s="38"/>
      <c r="AA1163" s="38"/>
      <c r="AD1163" s="38"/>
      <c r="AG1163" s="38"/>
      <c r="AJ1163" s="38"/>
      <c r="AM1163" s="38"/>
      <c r="AP1163" s="38"/>
    </row>
    <row r="1164" spans="9:42" x14ac:dyDescent="0.2">
      <c r="I1164" s="38"/>
      <c r="L1164" s="38"/>
      <c r="O1164" s="38"/>
      <c r="R1164" s="38"/>
      <c r="U1164" s="38"/>
      <c r="X1164" s="38"/>
      <c r="AA1164" s="38"/>
      <c r="AD1164" s="38"/>
      <c r="AG1164" s="38"/>
      <c r="AJ1164" s="38"/>
      <c r="AM1164" s="38"/>
      <c r="AP1164" s="38"/>
    </row>
    <row r="1165" spans="9:42" x14ac:dyDescent="0.2">
      <c r="I1165" s="38"/>
      <c r="L1165" s="38"/>
      <c r="O1165" s="38"/>
      <c r="R1165" s="38"/>
      <c r="U1165" s="38"/>
      <c r="X1165" s="38"/>
      <c r="AA1165" s="38"/>
      <c r="AD1165" s="38"/>
      <c r="AG1165" s="38"/>
      <c r="AJ1165" s="38"/>
      <c r="AM1165" s="38"/>
      <c r="AP1165" s="38"/>
    </row>
    <row r="1166" spans="9:42" x14ac:dyDescent="0.2">
      <c r="I1166" s="38"/>
      <c r="L1166" s="38"/>
      <c r="O1166" s="38"/>
      <c r="R1166" s="38"/>
      <c r="U1166" s="38"/>
      <c r="X1166" s="38"/>
      <c r="AA1166" s="38"/>
      <c r="AD1166" s="38"/>
      <c r="AG1166" s="38"/>
      <c r="AJ1166" s="38"/>
      <c r="AM1166" s="38"/>
      <c r="AP1166" s="38"/>
    </row>
    <row r="1167" spans="9:42" x14ac:dyDescent="0.2">
      <c r="I1167" s="38"/>
      <c r="L1167" s="38"/>
      <c r="O1167" s="38"/>
      <c r="R1167" s="38"/>
      <c r="U1167" s="38"/>
      <c r="X1167" s="38"/>
      <c r="AA1167" s="38"/>
      <c r="AD1167" s="38"/>
      <c r="AG1167" s="38"/>
      <c r="AJ1167" s="38"/>
      <c r="AM1167" s="38"/>
      <c r="AP1167" s="38"/>
    </row>
    <row r="1168" spans="9:42" x14ac:dyDescent="0.2">
      <c r="I1168" s="38"/>
      <c r="L1168" s="38"/>
      <c r="O1168" s="38"/>
      <c r="R1168" s="38"/>
      <c r="U1168" s="38"/>
      <c r="X1168" s="38"/>
      <c r="AA1168" s="38"/>
      <c r="AD1168" s="38"/>
      <c r="AG1168" s="38"/>
      <c r="AJ1168" s="38"/>
      <c r="AM1168" s="38"/>
      <c r="AP1168" s="38"/>
    </row>
    <row r="1169" spans="9:42" x14ac:dyDescent="0.2">
      <c r="I1169" s="38"/>
      <c r="L1169" s="38"/>
      <c r="O1169" s="38"/>
      <c r="R1169" s="38"/>
      <c r="U1169" s="38"/>
      <c r="X1169" s="38"/>
      <c r="AA1169" s="38"/>
      <c r="AD1169" s="38"/>
      <c r="AG1169" s="38"/>
      <c r="AJ1169" s="38"/>
      <c r="AM1169" s="38"/>
      <c r="AP1169" s="38"/>
    </row>
    <row r="1170" spans="9:42" x14ac:dyDescent="0.2">
      <c r="I1170" s="38"/>
      <c r="L1170" s="38"/>
      <c r="O1170" s="38"/>
      <c r="R1170" s="38"/>
      <c r="U1170" s="38"/>
      <c r="X1170" s="38"/>
      <c r="AA1170" s="38"/>
      <c r="AD1170" s="38"/>
      <c r="AG1170" s="38"/>
      <c r="AJ1170" s="38"/>
      <c r="AM1170" s="38"/>
      <c r="AP1170" s="38"/>
    </row>
    <row r="1171" spans="9:42" x14ac:dyDescent="0.2">
      <c r="I1171" s="38"/>
      <c r="L1171" s="38"/>
      <c r="O1171" s="38"/>
      <c r="R1171" s="38"/>
      <c r="U1171" s="38"/>
      <c r="X1171" s="38"/>
      <c r="AA1171" s="38"/>
      <c r="AD1171" s="38"/>
      <c r="AG1171" s="38"/>
      <c r="AJ1171" s="38"/>
      <c r="AM1171" s="38"/>
      <c r="AP1171" s="38"/>
    </row>
    <row r="1172" spans="9:42" x14ac:dyDescent="0.2">
      <c r="I1172" s="38"/>
      <c r="L1172" s="38"/>
      <c r="O1172" s="38"/>
      <c r="R1172" s="38"/>
      <c r="U1172" s="38"/>
      <c r="X1172" s="38"/>
      <c r="AA1172" s="38"/>
      <c r="AD1172" s="38"/>
      <c r="AG1172" s="38"/>
      <c r="AJ1172" s="38"/>
      <c r="AM1172" s="38"/>
      <c r="AP1172" s="38"/>
    </row>
    <row r="1173" spans="9:42" x14ac:dyDescent="0.2">
      <c r="I1173" s="38"/>
      <c r="L1173" s="38"/>
      <c r="O1173" s="38"/>
      <c r="R1173" s="38"/>
      <c r="U1173" s="38"/>
      <c r="X1173" s="38"/>
      <c r="AA1173" s="38"/>
      <c r="AD1173" s="38"/>
      <c r="AG1173" s="38"/>
      <c r="AJ1173" s="38"/>
      <c r="AM1173" s="38"/>
      <c r="AP1173" s="38"/>
    </row>
    <row r="1174" spans="9:42" x14ac:dyDescent="0.2">
      <c r="I1174" s="38"/>
      <c r="L1174" s="38"/>
      <c r="O1174" s="38"/>
      <c r="R1174" s="38"/>
      <c r="U1174" s="38"/>
      <c r="X1174" s="38"/>
      <c r="AA1174" s="38"/>
      <c r="AD1174" s="38"/>
      <c r="AG1174" s="38"/>
      <c r="AJ1174" s="38"/>
      <c r="AM1174" s="38"/>
      <c r="AP1174" s="38"/>
    </row>
    <row r="1175" spans="9:42" x14ac:dyDescent="0.2">
      <c r="I1175" s="38"/>
      <c r="L1175" s="38"/>
      <c r="O1175" s="38"/>
      <c r="R1175" s="38"/>
      <c r="U1175" s="38"/>
      <c r="X1175" s="38"/>
      <c r="AA1175" s="38"/>
      <c r="AD1175" s="38"/>
      <c r="AG1175" s="38"/>
      <c r="AJ1175" s="38"/>
      <c r="AM1175" s="38"/>
      <c r="AP1175" s="38"/>
    </row>
    <row r="1176" spans="9:42" x14ac:dyDescent="0.2">
      <c r="I1176" s="38"/>
      <c r="L1176" s="38"/>
      <c r="O1176" s="38"/>
      <c r="R1176" s="38"/>
      <c r="U1176" s="38"/>
      <c r="X1176" s="38"/>
      <c r="AA1176" s="38"/>
      <c r="AD1176" s="38"/>
      <c r="AG1176" s="38"/>
      <c r="AJ1176" s="38"/>
      <c r="AM1176" s="38"/>
      <c r="AP1176" s="38"/>
    </row>
    <row r="1177" spans="9:42" x14ac:dyDescent="0.2">
      <c r="I1177" s="38"/>
      <c r="L1177" s="38"/>
      <c r="O1177" s="38"/>
      <c r="R1177" s="38"/>
      <c r="U1177" s="38"/>
      <c r="X1177" s="38"/>
      <c r="AA1177" s="38"/>
      <c r="AD1177" s="38"/>
      <c r="AG1177" s="38"/>
      <c r="AJ1177" s="38"/>
      <c r="AM1177" s="38"/>
      <c r="AP1177" s="38"/>
    </row>
    <row r="1178" spans="9:42" x14ac:dyDescent="0.2">
      <c r="I1178" s="38"/>
      <c r="L1178" s="38"/>
      <c r="O1178" s="38"/>
      <c r="R1178" s="38"/>
      <c r="U1178" s="38"/>
      <c r="X1178" s="38"/>
      <c r="AA1178" s="38"/>
      <c r="AD1178" s="38"/>
      <c r="AG1178" s="38"/>
      <c r="AJ1178" s="38"/>
      <c r="AM1178" s="38"/>
      <c r="AP1178" s="38"/>
    </row>
    <row r="1179" spans="9:42" x14ac:dyDescent="0.2">
      <c r="I1179" s="38"/>
      <c r="L1179" s="38"/>
      <c r="O1179" s="38"/>
      <c r="R1179" s="38"/>
      <c r="U1179" s="38"/>
      <c r="X1179" s="38"/>
      <c r="AA1179" s="38"/>
      <c r="AD1179" s="38"/>
      <c r="AG1179" s="38"/>
      <c r="AJ1179" s="38"/>
      <c r="AM1179" s="38"/>
      <c r="AP1179" s="38"/>
    </row>
    <row r="1180" spans="9:42" x14ac:dyDescent="0.2">
      <c r="I1180" s="38"/>
      <c r="L1180" s="38"/>
      <c r="O1180" s="38"/>
      <c r="R1180" s="38"/>
      <c r="U1180" s="38"/>
      <c r="X1180" s="38"/>
      <c r="AA1180" s="38"/>
      <c r="AD1180" s="38"/>
      <c r="AG1180" s="38"/>
      <c r="AJ1180" s="38"/>
      <c r="AM1180" s="38"/>
      <c r="AP1180" s="38"/>
    </row>
    <row r="1181" spans="9:42" x14ac:dyDescent="0.2">
      <c r="I1181" s="38"/>
      <c r="L1181" s="38"/>
      <c r="O1181" s="38"/>
      <c r="R1181" s="38"/>
      <c r="U1181" s="38"/>
      <c r="X1181" s="38"/>
      <c r="AA1181" s="38"/>
      <c r="AD1181" s="38"/>
      <c r="AG1181" s="38"/>
      <c r="AJ1181" s="38"/>
      <c r="AM1181" s="38"/>
      <c r="AP1181" s="38"/>
    </row>
    <row r="1182" spans="9:42" x14ac:dyDescent="0.2">
      <c r="I1182" s="38"/>
      <c r="L1182" s="38"/>
      <c r="O1182" s="38"/>
      <c r="R1182" s="38"/>
      <c r="U1182" s="38"/>
      <c r="X1182" s="38"/>
      <c r="AA1182" s="38"/>
      <c r="AD1182" s="38"/>
      <c r="AG1182" s="38"/>
      <c r="AJ1182" s="38"/>
      <c r="AM1182" s="38"/>
      <c r="AP1182" s="38"/>
    </row>
    <row r="1183" spans="9:42" x14ac:dyDescent="0.2">
      <c r="I1183" s="38"/>
      <c r="L1183" s="38"/>
      <c r="O1183" s="38"/>
      <c r="R1183" s="38"/>
      <c r="U1183" s="38"/>
      <c r="X1183" s="38"/>
      <c r="AA1183" s="38"/>
      <c r="AD1183" s="38"/>
      <c r="AG1183" s="38"/>
      <c r="AJ1183" s="38"/>
      <c r="AM1183" s="38"/>
      <c r="AP1183" s="38"/>
    </row>
    <row r="1184" spans="9:42" x14ac:dyDescent="0.2">
      <c r="I1184" s="38"/>
      <c r="L1184" s="38"/>
      <c r="O1184" s="38"/>
      <c r="R1184" s="38"/>
      <c r="U1184" s="38"/>
      <c r="X1184" s="38"/>
      <c r="AA1184" s="38"/>
      <c r="AD1184" s="38"/>
      <c r="AG1184" s="38"/>
      <c r="AJ1184" s="38"/>
      <c r="AM1184" s="38"/>
      <c r="AP1184" s="38"/>
    </row>
    <row r="1185" spans="9:42" x14ac:dyDescent="0.2">
      <c r="I1185" s="38"/>
      <c r="L1185" s="38"/>
      <c r="O1185" s="38"/>
      <c r="R1185" s="38"/>
      <c r="U1185" s="38"/>
      <c r="X1185" s="38"/>
      <c r="AA1185" s="38"/>
      <c r="AD1185" s="38"/>
      <c r="AG1185" s="38"/>
      <c r="AJ1185" s="38"/>
      <c r="AM1185" s="38"/>
      <c r="AP1185" s="38"/>
    </row>
    <row r="1186" spans="9:42" x14ac:dyDescent="0.2">
      <c r="I1186" s="38"/>
      <c r="L1186" s="38"/>
      <c r="O1186" s="38"/>
      <c r="R1186" s="38"/>
      <c r="U1186" s="38"/>
      <c r="X1186" s="38"/>
      <c r="AA1186" s="38"/>
      <c r="AD1186" s="38"/>
      <c r="AG1186" s="38"/>
      <c r="AJ1186" s="38"/>
      <c r="AM1186" s="38"/>
      <c r="AP1186" s="38"/>
    </row>
    <row r="1187" spans="9:42" x14ac:dyDescent="0.2">
      <c r="I1187" s="38"/>
      <c r="L1187" s="38"/>
      <c r="O1187" s="38"/>
      <c r="R1187" s="38"/>
      <c r="U1187" s="38"/>
      <c r="X1187" s="38"/>
      <c r="AA1187" s="38"/>
      <c r="AD1187" s="38"/>
      <c r="AG1187" s="38"/>
      <c r="AJ1187" s="38"/>
      <c r="AM1187" s="38"/>
      <c r="AP1187" s="38"/>
    </row>
    <row r="1188" spans="9:42" x14ac:dyDescent="0.2">
      <c r="I1188" s="38"/>
      <c r="L1188" s="38"/>
      <c r="O1188" s="38"/>
      <c r="R1188" s="38"/>
      <c r="U1188" s="38"/>
      <c r="X1188" s="38"/>
      <c r="AA1188" s="38"/>
      <c r="AD1188" s="38"/>
      <c r="AG1188" s="38"/>
      <c r="AJ1188" s="38"/>
      <c r="AM1188" s="38"/>
      <c r="AP1188" s="38"/>
    </row>
    <row r="1189" spans="9:42" x14ac:dyDescent="0.2">
      <c r="I1189" s="38"/>
      <c r="L1189" s="38"/>
      <c r="O1189" s="38"/>
      <c r="R1189" s="38"/>
      <c r="U1189" s="38"/>
      <c r="X1189" s="38"/>
      <c r="AA1189" s="38"/>
      <c r="AD1189" s="38"/>
      <c r="AG1189" s="38"/>
      <c r="AJ1189" s="38"/>
      <c r="AM1189" s="38"/>
      <c r="AP1189" s="38"/>
    </row>
    <row r="1190" spans="9:42" x14ac:dyDescent="0.2">
      <c r="I1190" s="38"/>
      <c r="L1190" s="38"/>
      <c r="O1190" s="38"/>
      <c r="R1190" s="38"/>
      <c r="U1190" s="38"/>
      <c r="X1190" s="38"/>
      <c r="AA1190" s="38"/>
      <c r="AD1190" s="38"/>
      <c r="AG1190" s="38"/>
      <c r="AJ1190" s="38"/>
      <c r="AM1190" s="38"/>
      <c r="AP1190" s="38"/>
    </row>
    <row r="1191" spans="9:42" x14ac:dyDescent="0.2">
      <c r="I1191" s="38"/>
      <c r="L1191" s="38"/>
      <c r="O1191" s="38"/>
      <c r="R1191" s="38"/>
      <c r="U1191" s="38"/>
      <c r="X1191" s="38"/>
      <c r="AA1191" s="38"/>
      <c r="AD1191" s="38"/>
      <c r="AG1191" s="38"/>
      <c r="AJ1191" s="38"/>
      <c r="AM1191" s="38"/>
      <c r="AP1191" s="38"/>
    </row>
    <row r="1192" spans="9:42" x14ac:dyDescent="0.2">
      <c r="I1192" s="38"/>
      <c r="L1192" s="38"/>
      <c r="O1192" s="38"/>
      <c r="R1192" s="38"/>
      <c r="U1192" s="38"/>
      <c r="X1192" s="38"/>
      <c r="AA1192" s="38"/>
      <c r="AD1192" s="38"/>
      <c r="AG1192" s="38"/>
      <c r="AJ1192" s="38"/>
      <c r="AM1192" s="38"/>
      <c r="AP1192" s="38"/>
    </row>
    <row r="1193" spans="9:42" x14ac:dyDescent="0.2">
      <c r="I1193" s="38"/>
      <c r="L1193" s="38"/>
      <c r="O1193" s="38"/>
      <c r="R1193" s="38"/>
      <c r="U1193" s="38"/>
      <c r="X1193" s="38"/>
      <c r="AA1193" s="38"/>
      <c r="AD1193" s="38"/>
      <c r="AG1193" s="38"/>
      <c r="AJ1193" s="38"/>
      <c r="AM1193" s="38"/>
      <c r="AP1193" s="38"/>
    </row>
    <row r="1194" spans="9:42" x14ac:dyDescent="0.2">
      <c r="I1194" s="38"/>
      <c r="L1194" s="38"/>
      <c r="O1194" s="38"/>
      <c r="R1194" s="38"/>
      <c r="U1194" s="38"/>
      <c r="X1194" s="38"/>
      <c r="AA1194" s="38"/>
      <c r="AD1194" s="38"/>
      <c r="AG1194" s="38"/>
      <c r="AJ1194" s="38"/>
      <c r="AM1194" s="38"/>
      <c r="AP1194" s="38"/>
    </row>
    <row r="1195" spans="9:42" x14ac:dyDescent="0.2">
      <c r="I1195" s="38"/>
      <c r="L1195" s="38"/>
      <c r="O1195" s="38"/>
      <c r="R1195" s="38"/>
      <c r="U1195" s="38"/>
      <c r="X1195" s="38"/>
      <c r="AA1195" s="38"/>
      <c r="AD1195" s="38"/>
      <c r="AG1195" s="38"/>
      <c r="AJ1195" s="38"/>
      <c r="AM1195" s="38"/>
      <c r="AP1195" s="38"/>
    </row>
    <row r="1196" spans="9:42" x14ac:dyDescent="0.2">
      <c r="I1196" s="38"/>
      <c r="L1196" s="38"/>
      <c r="O1196" s="38"/>
      <c r="R1196" s="38"/>
      <c r="U1196" s="38"/>
      <c r="X1196" s="38"/>
      <c r="AA1196" s="38"/>
      <c r="AD1196" s="38"/>
      <c r="AG1196" s="38"/>
      <c r="AJ1196" s="38"/>
      <c r="AM1196" s="38"/>
      <c r="AP1196" s="38"/>
    </row>
    <row r="1197" spans="9:42" x14ac:dyDescent="0.2">
      <c r="I1197" s="38"/>
      <c r="L1197" s="38"/>
      <c r="O1197" s="38"/>
      <c r="R1197" s="38"/>
      <c r="U1197" s="38"/>
      <c r="X1197" s="38"/>
      <c r="AA1197" s="38"/>
      <c r="AD1197" s="38"/>
      <c r="AG1197" s="38"/>
      <c r="AJ1197" s="38"/>
      <c r="AM1197" s="38"/>
      <c r="AP1197" s="38"/>
    </row>
    <row r="1198" spans="9:42" x14ac:dyDescent="0.2">
      <c r="I1198" s="38"/>
      <c r="L1198" s="38"/>
      <c r="O1198" s="38"/>
      <c r="R1198" s="38"/>
      <c r="U1198" s="38"/>
      <c r="X1198" s="38"/>
      <c r="AA1198" s="38"/>
      <c r="AD1198" s="38"/>
      <c r="AG1198" s="38"/>
      <c r="AJ1198" s="38"/>
      <c r="AM1198" s="38"/>
      <c r="AP1198" s="38"/>
    </row>
    <row r="1199" spans="9:42" x14ac:dyDescent="0.2">
      <c r="I1199" s="38"/>
      <c r="L1199" s="38"/>
      <c r="O1199" s="38"/>
      <c r="R1199" s="38"/>
      <c r="U1199" s="38"/>
      <c r="X1199" s="38"/>
      <c r="AA1199" s="38"/>
      <c r="AD1199" s="38"/>
      <c r="AG1199" s="38"/>
      <c r="AJ1199" s="38"/>
      <c r="AM1199" s="38"/>
      <c r="AP1199" s="38"/>
    </row>
    <row r="1200" spans="9:42" x14ac:dyDescent="0.2">
      <c r="I1200" s="38"/>
      <c r="L1200" s="38"/>
      <c r="O1200" s="38"/>
      <c r="R1200" s="38"/>
      <c r="U1200" s="38"/>
      <c r="X1200" s="38"/>
      <c r="AA1200" s="38"/>
      <c r="AD1200" s="38"/>
      <c r="AG1200" s="38"/>
      <c r="AJ1200" s="38"/>
      <c r="AM1200" s="38"/>
      <c r="AP1200" s="38"/>
    </row>
    <row r="1201" spans="9:42" x14ac:dyDescent="0.2">
      <c r="I1201" s="38"/>
      <c r="L1201" s="38"/>
      <c r="O1201" s="38"/>
      <c r="R1201" s="38"/>
      <c r="U1201" s="38"/>
      <c r="X1201" s="38"/>
      <c r="AA1201" s="38"/>
      <c r="AD1201" s="38"/>
      <c r="AG1201" s="38"/>
      <c r="AJ1201" s="38"/>
      <c r="AM1201" s="38"/>
      <c r="AP1201" s="38"/>
    </row>
    <row r="1202" spans="9:42" x14ac:dyDescent="0.2">
      <c r="I1202" s="38"/>
      <c r="L1202" s="38"/>
      <c r="O1202" s="38"/>
      <c r="R1202" s="38"/>
      <c r="U1202" s="38"/>
      <c r="X1202" s="38"/>
      <c r="AA1202" s="38"/>
      <c r="AD1202" s="38"/>
      <c r="AG1202" s="38"/>
      <c r="AJ1202" s="38"/>
      <c r="AM1202" s="38"/>
      <c r="AP1202" s="38"/>
    </row>
    <row r="1203" spans="9:42" x14ac:dyDescent="0.2">
      <c r="I1203" s="38"/>
      <c r="L1203" s="38"/>
      <c r="O1203" s="38"/>
      <c r="R1203" s="38"/>
      <c r="U1203" s="38"/>
      <c r="X1203" s="38"/>
      <c r="AA1203" s="38"/>
      <c r="AD1203" s="38"/>
      <c r="AG1203" s="38"/>
      <c r="AJ1203" s="38"/>
      <c r="AM1203" s="38"/>
      <c r="AP1203" s="38"/>
    </row>
    <row r="1204" spans="9:42" x14ac:dyDescent="0.2">
      <c r="I1204" s="38"/>
      <c r="L1204" s="38"/>
      <c r="O1204" s="38"/>
      <c r="R1204" s="38"/>
      <c r="U1204" s="38"/>
      <c r="X1204" s="38"/>
      <c r="AA1204" s="38"/>
      <c r="AD1204" s="38"/>
      <c r="AG1204" s="38"/>
      <c r="AJ1204" s="38"/>
      <c r="AM1204" s="38"/>
      <c r="AP1204" s="38"/>
    </row>
    <row r="1205" spans="9:42" x14ac:dyDescent="0.2">
      <c r="I1205" s="38"/>
      <c r="L1205" s="38"/>
      <c r="O1205" s="38"/>
      <c r="R1205" s="38"/>
      <c r="U1205" s="38"/>
      <c r="X1205" s="38"/>
      <c r="AA1205" s="38"/>
      <c r="AD1205" s="38"/>
      <c r="AG1205" s="38"/>
      <c r="AJ1205" s="38"/>
      <c r="AM1205" s="38"/>
      <c r="AP1205" s="38"/>
    </row>
    <row r="1206" spans="9:42" x14ac:dyDescent="0.2">
      <c r="I1206" s="38"/>
      <c r="L1206" s="38"/>
      <c r="O1206" s="38"/>
      <c r="R1206" s="38"/>
      <c r="U1206" s="38"/>
      <c r="X1206" s="38"/>
      <c r="AA1206" s="38"/>
      <c r="AD1206" s="38"/>
      <c r="AG1206" s="38"/>
      <c r="AJ1206" s="38"/>
      <c r="AM1206" s="38"/>
      <c r="AP1206" s="38"/>
    </row>
    <row r="1207" spans="9:42" x14ac:dyDescent="0.2">
      <c r="I1207" s="38"/>
      <c r="L1207" s="38"/>
      <c r="O1207" s="38"/>
      <c r="R1207" s="38"/>
      <c r="U1207" s="38"/>
      <c r="X1207" s="38"/>
      <c r="AA1207" s="38"/>
      <c r="AD1207" s="38"/>
      <c r="AG1207" s="38"/>
      <c r="AJ1207" s="38"/>
      <c r="AM1207" s="38"/>
      <c r="AP1207" s="38"/>
    </row>
    <row r="1208" spans="9:42" x14ac:dyDescent="0.2">
      <c r="I1208" s="38"/>
      <c r="L1208" s="38"/>
      <c r="O1208" s="38"/>
      <c r="R1208" s="38"/>
      <c r="U1208" s="38"/>
      <c r="X1208" s="38"/>
      <c r="AA1208" s="38"/>
      <c r="AD1208" s="38"/>
      <c r="AG1208" s="38"/>
      <c r="AJ1208" s="38"/>
      <c r="AM1208" s="38"/>
      <c r="AP1208" s="38"/>
    </row>
    <row r="1209" spans="9:42" x14ac:dyDescent="0.2">
      <c r="I1209" s="38"/>
      <c r="L1209" s="38"/>
      <c r="O1209" s="38"/>
      <c r="R1209" s="38"/>
      <c r="U1209" s="38"/>
      <c r="X1209" s="38"/>
      <c r="AA1209" s="38"/>
      <c r="AD1209" s="38"/>
      <c r="AG1209" s="38"/>
      <c r="AJ1209" s="38"/>
      <c r="AM1209" s="38"/>
      <c r="AP1209" s="38"/>
    </row>
    <row r="1210" spans="9:42" x14ac:dyDescent="0.2">
      <c r="I1210" s="38"/>
      <c r="L1210" s="38"/>
      <c r="O1210" s="38"/>
      <c r="R1210" s="38"/>
      <c r="U1210" s="38"/>
      <c r="X1210" s="38"/>
      <c r="AA1210" s="38"/>
      <c r="AD1210" s="38"/>
      <c r="AG1210" s="38"/>
      <c r="AJ1210" s="38"/>
      <c r="AM1210" s="38"/>
      <c r="AP1210" s="38"/>
    </row>
    <row r="1211" spans="9:42" x14ac:dyDescent="0.2">
      <c r="I1211" s="38"/>
      <c r="L1211" s="38"/>
      <c r="O1211" s="38"/>
      <c r="R1211" s="38"/>
      <c r="U1211" s="38"/>
      <c r="X1211" s="38"/>
      <c r="AA1211" s="38"/>
      <c r="AD1211" s="38"/>
      <c r="AG1211" s="38"/>
      <c r="AJ1211" s="38"/>
      <c r="AM1211" s="38"/>
      <c r="AP1211" s="38"/>
    </row>
    <row r="1212" spans="9:42" x14ac:dyDescent="0.2">
      <c r="I1212" s="38"/>
      <c r="L1212" s="38"/>
      <c r="O1212" s="38"/>
      <c r="R1212" s="38"/>
      <c r="U1212" s="38"/>
      <c r="X1212" s="38"/>
      <c r="AA1212" s="38"/>
      <c r="AD1212" s="38"/>
      <c r="AG1212" s="38"/>
      <c r="AJ1212" s="38"/>
      <c r="AM1212" s="38"/>
      <c r="AP1212" s="38"/>
    </row>
    <row r="1213" spans="9:42" x14ac:dyDescent="0.2">
      <c r="I1213" s="38"/>
      <c r="L1213" s="38"/>
      <c r="O1213" s="38"/>
      <c r="R1213" s="38"/>
      <c r="U1213" s="38"/>
      <c r="X1213" s="38"/>
      <c r="AA1213" s="38"/>
      <c r="AD1213" s="38"/>
      <c r="AG1213" s="38"/>
      <c r="AJ1213" s="38"/>
      <c r="AM1213" s="38"/>
      <c r="AP1213" s="38"/>
    </row>
    <row r="1214" spans="9:42" x14ac:dyDescent="0.2">
      <c r="I1214" s="38"/>
      <c r="L1214" s="38"/>
      <c r="O1214" s="38"/>
      <c r="R1214" s="38"/>
      <c r="U1214" s="38"/>
      <c r="X1214" s="38"/>
      <c r="AA1214" s="38"/>
      <c r="AD1214" s="38"/>
      <c r="AG1214" s="38"/>
      <c r="AJ1214" s="38"/>
      <c r="AM1214" s="38"/>
      <c r="AP1214" s="38"/>
    </row>
    <row r="1215" spans="9:42" x14ac:dyDescent="0.2">
      <c r="I1215" s="38"/>
      <c r="L1215" s="38"/>
      <c r="O1215" s="38"/>
      <c r="R1215" s="38"/>
      <c r="U1215" s="38"/>
      <c r="X1215" s="38"/>
      <c r="AA1215" s="38"/>
      <c r="AD1215" s="38"/>
      <c r="AG1215" s="38"/>
      <c r="AJ1215" s="38"/>
      <c r="AM1215" s="38"/>
      <c r="AP1215" s="38"/>
    </row>
    <row r="1216" spans="9:42" x14ac:dyDescent="0.2">
      <c r="I1216" s="38"/>
      <c r="L1216" s="38"/>
      <c r="O1216" s="38"/>
      <c r="R1216" s="38"/>
      <c r="U1216" s="38"/>
      <c r="X1216" s="38"/>
      <c r="AA1216" s="38"/>
      <c r="AD1216" s="38"/>
      <c r="AG1216" s="38"/>
      <c r="AJ1216" s="38"/>
      <c r="AM1216" s="38"/>
      <c r="AP1216" s="38"/>
    </row>
    <row r="1217" spans="9:42" x14ac:dyDescent="0.2">
      <c r="I1217" s="38"/>
      <c r="L1217" s="38"/>
      <c r="O1217" s="38"/>
      <c r="R1217" s="38"/>
      <c r="U1217" s="38"/>
      <c r="X1217" s="38"/>
      <c r="AA1217" s="38"/>
      <c r="AD1217" s="38"/>
      <c r="AG1217" s="38"/>
      <c r="AJ1217" s="38"/>
      <c r="AM1217" s="38"/>
      <c r="AP1217" s="38"/>
    </row>
    <row r="1218" spans="9:42" x14ac:dyDescent="0.2">
      <c r="I1218" s="38"/>
      <c r="L1218" s="38"/>
      <c r="O1218" s="38"/>
      <c r="R1218" s="38"/>
      <c r="U1218" s="38"/>
      <c r="X1218" s="38"/>
      <c r="AA1218" s="38"/>
      <c r="AD1218" s="38"/>
      <c r="AG1218" s="38"/>
      <c r="AJ1218" s="38"/>
      <c r="AM1218" s="38"/>
      <c r="AP1218" s="38"/>
    </row>
    <row r="1219" spans="9:42" x14ac:dyDescent="0.2">
      <c r="I1219" s="38"/>
      <c r="L1219" s="38"/>
      <c r="O1219" s="38"/>
      <c r="R1219" s="38"/>
      <c r="U1219" s="38"/>
      <c r="X1219" s="38"/>
      <c r="AA1219" s="38"/>
      <c r="AD1219" s="38"/>
      <c r="AG1219" s="38"/>
      <c r="AJ1219" s="38"/>
      <c r="AM1219" s="38"/>
      <c r="AP1219" s="38"/>
    </row>
    <row r="1220" spans="9:42" x14ac:dyDescent="0.2">
      <c r="I1220" s="38"/>
      <c r="L1220" s="38"/>
      <c r="O1220" s="38"/>
      <c r="R1220" s="38"/>
      <c r="U1220" s="38"/>
      <c r="X1220" s="38"/>
      <c r="AA1220" s="38"/>
      <c r="AD1220" s="38"/>
      <c r="AG1220" s="38"/>
      <c r="AJ1220" s="38"/>
      <c r="AM1220" s="38"/>
      <c r="AP1220" s="38"/>
    </row>
    <row r="1221" spans="9:42" x14ac:dyDescent="0.2">
      <c r="I1221" s="38"/>
      <c r="L1221" s="38"/>
      <c r="O1221" s="38"/>
      <c r="R1221" s="38"/>
      <c r="U1221" s="38"/>
      <c r="X1221" s="38"/>
      <c r="AA1221" s="38"/>
      <c r="AD1221" s="38"/>
      <c r="AG1221" s="38"/>
      <c r="AJ1221" s="38"/>
      <c r="AM1221" s="38"/>
      <c r="AP1221" s="38"/>
    </row>
    <row r="1222" spans="9:42" x14ac:dyDescent="0.2">
      <c r="I1222" s="38"/>
      <c r="L1222" s="38"/>
      <c r="O1222" s="38"/>
      <c r="R1222" s="38"/>
      <c r="U1222" s="38"/>
      <c r="X1222" s="38"/>
      <c r="AA1222" s="38"/>
      <c r="AD1222" s="38"/>
      <c r="AG1222" s="38"/>
      <c r="AJ1222" s="38"/>
      <c r="AM1222" s="38"/>
      <c r="AP1222" s="38"/>
    </row>
    <row r="1223" spans="9:42" x14ac:dyDescent="0.2">
      <c r="I1223" s="38"/>
      <c r="L1223" s="38"/>
      <c r="O1223" s="38"/>
      <c r="R1223" s="38"/>
      <c r="U1223" s="38"/>
      <c r="X1223" s="38"/>
      <c r="AA1223" s="38"/>
      <c r="AD1223" s="38"/>
      <c r="AG1223" s="38"/>
      <c r="AJ1223" s="38"/>
      <c r="AM1223" s="38"/>
      <c r="AP1223" s="38"/>
    </row>
    <row r="1224" spans="9:42" x14ac:dyDescent="0.2">
      <c r="I1224" s="38"/>
      <c r="L1224" s="38"/>
      <c r="O1224" s="38"/>
      <c r="R1224" s="38"/>
      <c r="U1224" s="38"/>
      <c r="X1224" s="38"/>
      <c r="AA1224" s="38"/>
      <c r="AD1224" s="38"/>
      <c r="AG1224" s="38"/>
      <c r="AJ1224" s="38"/>
      <c r="AM1224" s="38"/>
      <c r="AP1224" s="38"/>
    </row>
    <row r="1225" spans="9:42" x14ac:dyDescent="0.2">
      <c r="I1225" s="38"/>
      <c r="L1225" s="38"/>
      <c r="O1225" s="38"/>
      <c r="R1225" s="38"/>
      <c r="U1225" s="38"/>
      <c r="X1225" s="38"/>
      <c r="AA1225" s="38"/>
      <c r="AD1225" s="38"/>
      <c r="AG1225" s="38"/>
      <c r="AJ1225" s="38"/>
      <c r="AM1225" s="38"/>
      <c r="AP1225" s="38"/>
    </row>
    <row r="1226" spans="9:42" x14ac:dyDescent="0.2">
      <c r="I1226" s="38"/>
      <c r="L1226" s="38"/>
      <c r="O1226" s="38"/>
      <c r="R1226" s="38"/>
      <c r="U1226" s="38"/>
      <c r="X1226" s="38"/>
      <c r="AA1226" s="38"/>
      <c r="AD1226" s="38"/>
      <c r="AG1226" s="38"/>
      <c r="AJ1226" s="38"/>
      <c r="AM1226" s="38"/>
      <c r="AP1226" s="38"/>
    </row>
    <row r="1227" spans="9:42" x14ac:dyDescent="0.2">
      <c r="I1227" s="38"/>
      <c r="L1227" s="38"/>
      <c r="O1227" s="38"/>
      <c r="R1227" s="38"/>
      <c r="U1227" s="38"/>
      <c r="X1227" s="38"/>
      <c r="AA1227" s="38"/>
      <c r="AD1227" s="38"/>
      <c r="AG1227" s="38"/>
      <c r="AJ1227" s="38"/>
      <c r="AM1227" s="38"/>
      <c r="AP1227" s="38"/>
    </row>
    <row r="1228" spans="9:42" x14ac:dyDescent="0.2">
      <c r="I1228" s="38"/>
      <c r="L1228" s="38"/>
      <c r="O1228" s="38"/>
      <c r="R1228" s="38"/>
      <c r="U1228" s="38"/>
      <c r="X1228" s="38"/>
      <c r="AA1228" s="38"/>
      <c r="AD1228" s="38"/>
      <c r="AG1228" s="38"/>
      <c r="AJ1228" s="38"/>
      <c r="AM1228" s="38"/>
      <c r="AP1228" s="38"/>
    </row>
    <row r="1229" spans="9:42" x14ac:dyDescent="0.2">
      <c r="I1229" s="38"/>
      <c r="L1229" s="38"/>
      <c r="O1229" s="38"/>
      <c r="R1229" s="38"/>
      <c r="U1229" s="38"/>
      <c r="X1229" s="38"/>
      <c r="AA1229" s="38"/>
      <c r="AD1229" s="38"/>
      <c r="AG1229" s="38"/>
      <c r="AJ1229" s="38"/>
      <c r="AM1229" s="38"/>
      <c r="AP1229" s="38"/>
    </row>
    <row r="1230" spans="9:42" x14ac:dyDescent="0.2">
      <c r="I1230" s="38"/>
      <c r="L1230" s="38"/>
      <c r="O1230" s="38"/>
      <c r="R1230" s="38"/>
      <c r="U1230" s="38"/>
      <c r="X1230" s="38"/>
      <c r="AA1230" s="38"/>
      <c r="AD1230" s="38"/>
      <c r="AG1230" s="38"/>
      <c r="AJ1230" s="38"/>
      <c r="AM1230" s="38"/>
      <c r="AP1230" s="38"/>
    </row>
    <row r="1231" spans="9:42" x14ac:dyDescent="0.2">
      <c r="I1231" s="38"/>
      <c r="L1231" s="38"/>
      <c r="O1231" s="38"/>
      <c r="R1231" s="38"/>
      <c r="U1231" s="38"/>
      <c r="X1231" s="38"/>
      <c r="AA1231" s="38"/>
      <c r="AD1231" s="38"/>
      <c r="AG1231" s="38"/>
      <c r="AJ1231" s="38"/>
      <c r="AM1231" s="38"/>
      <c r="AP1231" s="38"/>
    </row>
    <row r="1232" spans="9:42" x14ac:dyDescent="0.2">
      <c r="I1232" s="38"/>
      <c r="L1232" s="38"/>
      <c r="O1232" s="38"/>
      <c r="R1232" s="38"/>
      <c r="U1232" s="38"/>
      <c r="X1232" s="38"/>
      <c r="AA1232" s="38"/>
      <c r="AD1232" s="38"/>
      <c r="AG1232" s="38"/>
      <c r="AJ1232" s="38"/>
      <c r="AM1232" s="38"/>
      <c r="AP1232" s="38"/>
    </row>
    <row r="1233" spans="9:42" x14ac:dyDescent="0.2">
      <c r="I1233" s="38"/>
      <c r="L1233" s="38"/>
      <c r="O1233" s="38"/>
      <c r="R1233" s="38"/>
      <c r="U1233" s="38"/>
      <c r="X1233" s="38"/>
      <c r="AA1233" s="38"/>
      <c r="AD1233" s="38"/>
      <c r="AG1233" s="38"/>
      <c r="AJ1233" s="38"/>
      <c r="AM1233" s="38"/>
      <c r="AP1233" s="38"/>
    </row>
    <row r="1234" spans="9:42" x14ac:dyDescent="0.2">
      <c r="I1234" s="38"/>
      <c r="L1234" s="38"/>
      <c r="O1234" s="38"/>
      <c r="R1234" s="38"/>
      <c r="U1234" s="38"/>
      <c r="X1234" s="38"/>
      <c r="AA1234" s="38"/>
      <c r="AD1234" s="38"/>
      <c r="AG1234" s="38"/>
      <c r="AJ1234" s="38"/>
      <c r="AM1234" s="38"/>
      <c r="AP1234" s="38"/>
    </row>
    <row r="1235" spans="9:42" x14ac:dyDescent="0.2">
      <c r="I1235" s="38"/>
      <c r="L1235" s="38"/>
      <c r="O1235" s="38"/>
      <c r="R1235" s="38"/>
      <c r="U1235" s="38"/>
      <c r="X1235" s="38"/>
      <c r="AA1235" s="38"/>
      <c r="AD1235" s="38"/>
      <c r="AG1235" s="38"/>
      <c r="AJ1235" s="38"/>
      <c r="AM1235" s="38"/>
      <c r="AP1235" s="38"/>
    </row>
    <row r="1236" spans="9:42" x14ac:dyDescent="0.2">
      <c r="I1236" s="38"/>
      <c r="L1236" s="38"/>
      <c r="O1236" s="38"/>
      <c r="R1236" s="38"/>
      <c r="U1236" s="38"/>
      <c r="X1236" s="38"/>
      <c r="AA1236" s="38"/>
      <c r="AD1236" s="38"/>
      <c r="AG1236" s="38"/>
      <c r="AJ1236" s="38"/>
      <c r="AM1236" s="38"/>
      <c r="AP1236" s="38"/>
    </row>
    <row r="1237" spans="9:42" x14ac:dyDescent="0.2">
      <c r="I1237" s="38"/>
      <c r="L1237" s="38"/>
      <c r="O1237" s="38"/>
      <c r="R1237" s="38"/>
      <c r="U1237" s="38"/>
      <c r="X1237" s="38"/>
      <c r="AA1237" s="38"/>
      <c r="AD1237" s="38"/>
      <c r="AG1237" s="38"/>
      <c r="AJ1237" s="38"/>
      <c r="AM1237" s="38"/>
      <c r="AP1237" s="38"/>
    </row>
    <row r="1238" spans="9:42" x14ac:dyDescent="0.2">
      <c r="I1238" s="38"/>
      <c r="L1238" s="38"/>
      <c r="O1238" s="38"/>
      <c r="R1238" s="38"/>
      <c r="U1238" s="38"/>
      <c r="X1238" s="38"/>
      <c r="AA1238" s="38"/>
      <c r="AD1238" s="38"/>
      <c r="AG1238" s="38"/>
      <c r="AJ1238" s="38"/>
      <c r="AM1238" s="38"/>
      <c r="AP1238" s="38"/>
    </row>
    <row r="1239" spans="9:42" x14ac:dyDescent="0.2">
      <c r="I1239" s="38"/>
      <c r="L1239" s="38"/>
      <c r="O1239" s="38"/>
      <c r="R1239" s="38"/>
      <c r="U1239" s="38"/>
      <c r="X1239" s="38"/>
      <c r="AA1239" s="38"/>
      <c r="AD1239" s="38"/>
      <c r="AG1239" s="38"/>
      <c r="AJ1239" s="38"/>
      <c r="AM1239" s="38"/>
      <c r="AP1239" s="38"/>
    </row>
    <row r="1240" spans="9:42" x14ac:dyDescent="0.2">
      <c r="I1240" s="38"/>
      <c r="L1240" s="38"/>
      <c r="O1240" s="38"/>
      <c r="R1240" s="38"/>
      <c r="U1240" s="38"/>
      <c r="X1240" s="38"/>
      <c r="AA1240" s="38"/>
      <c r="AD1240" s="38"/>
      <c r="AG1240" s="38"/>
      <c r="AJ1240" s="38"/>
      <c r="AM1240" s="38"/>
      <c r="AP1240" s="38"/>
    </row>
    <row r="1241" spans="9:42" x14ac:dyDescent="0.2">
      <c r="I1241" s="38"/>
      <c r="L1241" s="38"/>
      <c r="O1241" s="38"/>
      <c r="R1241" s="38"/>
      <c r="U1241" s="38"/>
      <c r="X1241" s="38"/>
      <c r="AA1241" s="38"/>
      <c r="AD1241" s="38"/>
      <c r="AG1241" s="38"/>
      <c r="AJ1241" s="38"/>
      <c r="AM1241" s="38"/>
      <c r="AP1241" s="38"/>
    </row>
    <row r="1242" spans="9:42" x14ac:dyDescent="0.2">
      <c r="I1242" s="38"/>
      <c r="L1242" s="38"/>
      <c r="O1242" s="38"/>
      <c r="R1242" s="38"/>
      <c r="U1242" s="38"/>
      <c r="X1242" s="38"/>
      <c r="AA1242" s="38"/>
      <c r="AD1242" s="38"/>
      <c r="AG1242" s="38"/>
      <c r="AJ1242" s="38"/>
      <c r="AM1242" s="38"/>
      <c r="AP1242" s="38"/>
    </row>
    <row r="1243" spans="9:42" x14ac:dyDescent="0.2">
      <c r="I1243" s="38"/>
      <c r="L1243" s="38"/>
      <c r="O1243" s="38"/>
      <c r="R1243" s="38"/>
      <c r="U1243" s="38"/>
      <c r="X1243" s="38"/>
      <c r="AA1243" s="38"/>
      <c r="AD1243" s="38"/>
      <c r="AG1243" s="38"/>
      <c r="AJ1243" s="38"/>
      <c r="AM1243" s="38"/>
      <c r="AP1243" s="38"/>
    </row>
    <row r="1244" spans="9:42" x14ac:dyDescent="0.2">
      <c r="I1244" s="38"/>
      <c r="L1244" s="38"/>
      <c r="O1244" s="38"/>
      <c r="R1244" s="38"/>
      <c r="U1244" s="38"/>
      <c r="X1244" s="38"/>
      <c r="AA1244" s="38"/>
      <c r="AD1244" s="38"/>
      <c r="AG1244" s="38"/>
      <c r="AJ1244" s="38"/>
      <c r="AM1244" s="38"/>
      <c r="AP1244" s="38"/>
    </row>
    <row r="1245" spans="9:42" x14ac:dyDescent="0.2">
      <c r="I1245" s="38"/>
      <c r="L1245" s="38"/>
      <c r="O1245" s="38"/>
      <c r="R1245" s="38"/>
      <c r="U1245" s="38"/>
      <c r="X1245" s="38"/>
      <c r="AA1245" s="38"/>
      <c r="AD1245" s="38"/>
      <c r="AG1245" s="38"/>
      <c r="AJ1245" s="38"/>
      <c r="AM1245" s="38"/>
      <c r="AP1245" s="38"/>
    </row>
    <row r="1246" spans="9:42" x14ac:dyDescent="0.2">
      <c r="I1246" s="38"/>
      <c r="L1246" s="38"/>
      <c r="O1246" s="38"/>
      <c r="R1246" s="38"/>
      <c r="U1246" s="38"/>
      <c r="X1246" s="38"/>
      <c r="AA1246" s="38"/>
      <c r="AD1246" s="38"/>
      <c r="AG1246" s="38"/>
      <c r="AJ1246" s="38"/>
      <c r="AM1246" s="38"/>
      <c r="AP1246" s="38"/>
    </row>
    <row r="1247" spans="9:42" x14ac:dyDescent="0.2">
      <c r="I1247" s="38"/>
      <c r="L1247" s="38"/>
      <c r="O1247" s="38"/>
      <c r="R1247" s="38"/>
      <c r="U1247" s="38"/>
      <c r="X1247" s="38"/>
      <c r="AA1247" s="38"/>
      <c r="AD1247" s="38"/>
      <c r="AG1247" s="38"/>
      <c r="AJ1247" s="38"/>
      <c r="AM1247" s="38"/>
      <c r="AP1247" s="38"/>
    </row>
    <row r="1248" spans="9:42" x14ac:dyDescent="0.2">
      <c r="I1248" s="38"/>
      <c r="L1248" s="38"/>
      <c r="O1248" s="38"/>
      <c r="R1248" s="38"/>
      <c r="U1248" s="38"/>
      <c r="X1248" s="38"/>
      <c r="AA1248" s="38"/>
      <c r="AD1248" s="38"/>
      <c r="AG1248" s="38"/>
      <c r="AJ1248" s="38"/>
      <c r="AM1248" s="38"/>
      <c r="AP1248" s="38"/>
    </row>
    <row r="1249" spans="9:42" x14ac:dyDescent="0.2">
      <c r="I1249" s="38"/>
      <c r="L1249" s="38"/>
      <c r="O1249" s="38"/>
      <c r="R1249" s="38"/>
      <c r="U1249" s="38"/>
      <c r="X1249" s="38"/>
      <c r="AA1249" s="38"/>
      <c r="AD1249" s="38"/>
      <c r="AG1249" s="38"/>
      <c r="AJ1249" s="38"/>
      <c r="AM1249" s="38"/>
      <c r="AP1249" s="38"/>
    </row>
    <row r="1250" spans="9:42" x14ac:dyDescent="0.2">
      <c r="I1250" s="38"/>
      <c r="L1250" s="38"/>
      <c r="O1250" s="38"/>
      <c r="R1250" s="38"/>
      <c r="U1250" s="38"/>
      <c r="X1250" s="38"/>
      <c r="AA1250" s="38"/>
      <c r="AD1250" s="38"/>
      <c r="AG1250" s="38"/>
      <c r="AJ1250" s="38"/>
      <c r="AM1250" s="38"/>
      <c r="AP1250" s="38"/>
    </row>
    <row r="1251" spans="9:42" x14ac:dyDescent="0.2">
      <c r="I1251" s="38"/>
      <c r="L1251" s="38"/>
      <c r="O1251" s="38"/>
      <c r="R1251" s="38"/>
      <c r="U1251" s="38"/>
      <c r="X1251" s="38"/>
      <c r="AA1251" s="38"/>
      <c r="AD1251" s="38"/>
      <c r="AG1251" s="38"/>
      <c r="AJ1251" s="38"/>
      <c r="AM1251" s="38"/>
      <c r="AP1251" s="38"/>
    </row>
    <row r="1252" spans="9:42" x14ac:dyDescent="0.2">
      <c r="I1252" s="38"/>
      <c r="L1252" s="38"/>
      <c r="O1252" s="38"/>
      <c r="R1252" s="38"/>
      <c r="U1252" s="38"/>
      <c r="X1252" s="38"/>
      <c r="AA1252" s="38"/>
      <c r="AD1252" s="38"/>
      <c r="AG1252" s="38"/>
      <c r="AJ1252" s="38"/>
      <c r="AM1252" s="38"/>
      <c r="AP1252" s="38"/>
    </row>
    <row r="1253" spans="9:42" x14ac:dyDescent="0.2">
      <c r="I1253" s="38"/>
      <c r="L1253" s="38"/>
      <c r="O1253" s="38"/>
      <c r="R1253" s="38"/>
      <c r="U1253" s="38"/>
      <c r="X1253" s="38"/>
      <c r="AA1253" s="38"/>
      <c r="AD1253" s="38"/>
      <c r="AG1253" s="38"/>
      <c r="AJ1253" s="38"/>
      <c r="AM1253" s="38"/>
      <c r="AP1253" s="38"/>
    </row>
    <row r="1254" spans="9:42" x14ac:dyDescent="0.2">
      <c r="I1254" s="38"/>
      <c r="L1254" s="38"/>
      <c r="O1254" s="38"/>
      <c r="R1254" s="38"/>
      <c r="U1254" s="38"/>
      <c r="X1254" s="38"/>
      <c r="AA1254" s="38"/>
      <c r="AD1254" s="38"/>
      <c r="AG1254" s="38"/>
      <c r="AJ1254" s="38"/>
      <c r="AM1254" s="38"/>
      <c r="AP1254" s="38"/>
    </row>
    <row r="1255" spans="9:42" x14ac:dyDescent="0.2">
      <c r="I1255" s="38"/>
      <c r="L1255" s="38"/>
      <c r="O1255" s="38"/>
      <c r="R1255" s="38"/>
      <c r="U1255" s="38"/>
      <c r="X1255" s="38"/>
      <c r="AA1255" s="38"/>
      <c r="AD1255" s="38"/>
      <c r="AG1255" s="38"/>
      <c r="AJ1255" s="38"/>
      <c r="AM1255" s="38"/>
      <c r="AP1255" s="38"/>
    </row>
    <row r="1256" spans="9:42" x14ac:dyDescent="0.2">
      <c r="I1256" s="38"/>
      <c r="L1256" s="38"/>
      <c r="O1256" s="38"/>
      <c r="R1256" s="38"/>
      <c r="U1256" s="38"/>
      <c r="X1256" s="38"/>
      <c r="AA1256" s="38"/>
      <c r="AD1256" s="38"/>
      <c r="AG1256" s="38"/>
      <c r="AJ1256" s="38"/>
      <c r="AM1256" s="38"/>
      <c r="AP1256" s="38"/>
    </row>
    <row r="1257" spans="9:42" x14ac:dyDescent="0.2">
      <c r="I1257" s="38"/>
      <c r="L1257" s="38"/>
      <c r="O1257" s="38"/>
      <c r="R1257" s="38"/>
      <c r="U1257" s="38"/>
      <c r="X1257" s="38"/>
      <c r="AA1257" s="38"/>
      <c r="AD1257" s="38"/>
      <c r="AG1257" s="38"/>
      <c r="AJ1257" s="38"/>
      <c r="AM1257" s="38"/>
      <c r="AP1257" s="38"/>
    </row>
    <row r="1258" spans="9:42" x14ac:dyDescent="0.2">
      <c r="I1258" s="38"/>
      <c r="L1258" s="38"/>
      <c r="O1258" s="38"/>
      <c r="R1258" s="38"/>
      <c r="U1258" s="38"/>
      <c r="X1258" s="38"/>
      <c r="AA1258" s="38"/>
      <c r="AD1258" s="38"/>
      <c r="AG1258" s="38"/>
      <c r="AJ1258" s="38"/>
      <c r="AM1258" s="38"/>
      <c r="AP1258" s="38"/>
    </row>
    <row r="1259" spans="9:42" x14ac:dyDescent="0.2">
      <c r="I1259" s="38"/>
      <c r="L1259" s="38"/>
      <c r="O1259" s="38"/>
      <c r="R1259" s="38"/>
      <c r="U1259" s="38"/>
      <c r="X1259" s="38"/>
      <c r="AA1259" s="38"/>
      <c r="AD1259" s="38"/>
      <c r="AG1259" s="38"/>
      <c r="AJ1259" s="38"/>
      <c r="AM1259" s="38"/>
      <c r="AP1259" s="38"/>
    </row>
    <row r="1260" spans="9:42" x14ac:dyDescent="0.2">
      <c r="I1260" s="38"/>
      <c r="L1260" s="38"/>
      <c r="O1260" s="38"/>
      <c r="R1260" s="38"/>
      <c r="U1260" s="38"/>
      <c r="X1260" s="38"/>
      <c r="AA1260" s="38"/>
      <c r="AD1260" s="38"/>
      <c r="AG1260" s="38"/>
      <c r="AJ1260" s="38"/>
      <c r="AM1260" s="38"/>
      <c r="AP1260" s="38"/>
    </row>
    <row r="1261" spans="9:42" x14ac:dyDescent="0.2">
      <c r="I1261" s="38"/>
      <c r="L1261" s="38"/>
      <c r="O1261" s="38"/>
      <c r="R1261" s="38"/>
      <c r="U1261" s="38"/>
      <c r="X1261" s="38"/>
      <c r="AA1261" s="38"/>
      <c r="AD1261" s="38"/>
      <c r="AG1261" s="38"/>
      <c r="AJ1261" s="38"/>
      <c r="AM1261" s="38"/>
      <c r="AP1261" s="38"/>
    </row>
    <row r="1262" spans="9:42" x14ac:dyDescent="0.2">
      <c r="I1262" s="38"/>
      <c r="L1262" s="38"/>
      <c r="O1262" s="38"/>
      <c r="R1262" s="38"/>
      <c r="U1262" s="38"/>
      <c r="X1262" s="38"/>
      <c r="AA1262" s="38"/>
      <c r="AD1262" s="38"/>
      <c r="AG1262" s="38"/>
      <c r="AJ1262" s="38"/>
      <c r="AM1262" s="38"/>
      <c r="AP1262" s="38"/>
    </row>
    <row r="1263" spans="9:42" x14ac:dyDescent="0.2">
      <c r="I1263" s="38"/>
      <c r="L1263" s="38"/>
      <c r="O1263" s="38"/>
      <c r="R1263" s="38"/>
      <c r="U1263" s="38"/>
      <c r="X1263" s="38"/>
      <c r="AA1263" s="38"/>
      <c r="AD1263" s="38"/>
      <c r="AG1263" s="38"/>
      <c r="AJ1263" s="38"/>
      <c r="AM1263" s="38"/>
      <c r="AP1263" s="38"/>
    </row>
    <row r="1264" spans="9:42" x14ac:dyDescent="0.2">
      <c r="I1264" s="38"/>
      <c r="L1264" s="38"/>
      <c r="O1264" s="38"/>
      <c r="R1264" s="38"/>
      <c r="U1264" s="38"/>
      <c r="X1264" s="38"/>
      <c r="AA1264" s="38"/>
      <c r="AD1264" s="38"/>
      <c r="AG1264" s="38"/>
      <c r="AJ1264" s="38"/>
      <c r="AM1264" s="38"/>
      <c r="AP1264" s="38"/>
    </row>
    <row r="1265" spans="9:42" x14ac:dyDescent="0.2">
      <c r="I1265" s="38"/>
      <c r="L1265" s="38"/>
      <c r="O1265" s="38"/>
      <c r="R1265" s="38"/>
      <c r="U1265" s="38"/>
      <c r="X1265" s="38"/>
      <c r="AA1265" s="38"/>
      <c r="AD1265" s="38"/>
      <c r="AG1265" s="38"/>
      <c r="AJ1265" s="38"/>
      <c r="AM1265" s="38"/>
      <c r="AP1265" s="38"/>
    </row>
    <row r="1266" spans="9:42" x14ac:dyDescent="0.2">
      <c r="I1266" s="38"/>
      <c r="L1266" s="38"/>
      <c r="O1266" s="38"/>
      <c r="R1266" s="38"/>
      <c r="U1266" s="38"/>
      <c r="X1266" s="38"/>
      <c r="AA1266" s="38"/>
      <c r="AD1266" s="38"/>
      <c r="AG1266" s="38"/>
      <c r="AJ1266" s="38"/>
      <c r="AM1266" s="38"/>
      <c r="AP1266" s="38"/>
    </row>
    <row r="1267" spans="9:42" x14ac:dyDescent="0.2">
      <c r="I1267" s="38"/>
      <c r="L1267" s="38"/>
      <c r="O1267" s="38"/>
      <c r="R1267" s="38"/>
      <c r="U1267" s="38"/>
      <c r="X1267" s="38"/>
      <c r="AA1267" s="38"/>
      <c r="AD1267" s="38"/>
      <c r="AG1267" s="38"/>
      <c r="AJ1267" s="38"/>
      <c r="AM1267" s="38"/>
      <c r="AP1267" s="38"/>
    </row>
    <row r="1268" spans="9:42" x14ac:dyDescent="0.2">
      <c r="I1268" s="38"/>
      <c r="L1268" s="38"/>
      <c r="O1268" s="38"/>
      <c r="R1268" s="38"/>
      <c r="U1268" s="38"/>
      <c r="X1268" s="38"/>
      <c r="AA1268" s="38"/>
      <c r="AD1268" s="38"/>
      <c r="AG1268" s="38"/>
      <c r="AJ1268" s="38"/>
      <c r="AM1268" s="38"/>
      <c r="AP1268" s="38"/>
    </row>
    <row r="1269" spans="9:42" x14ac:dyDescent="0.2">
      <c r="I1269" s="38"/>
      <c r="L1269" s="38"/>
      <c r="O1269" s="38"/>
      <c r="R1269" s="38"/>
      <c r="U1269" s="38"/>
      <c r="X1269" s="38"/>
      <c r="AA1269" s="38"/>
      <c r="AD1269" s="38"/>
      <c r="AG1269" s="38"/>
      <c r="AJ1269" s="38"/>
      <c r="AM1269" s="38"/>
      <c r="AP1269" s="38"/>
    </row>
    <row r="1270" spans="9:42" x14ac:dyDescent="0.2">
      <c r="I1270" s="38"/>
      <c r="L1270" s="38"/>
      <c r="O1270" s="38"/>
      <c r="R1270" s="38"/>
      <c r="U1270" s="38"/>
      <c r="X1270" s="38"/>
      <c r="AA1270" s="38"/>
      <c r="AD1270" s="38"/>
      <c r="AG1270" s="38"/>
      <c r="AJ1270" s="38"/>
      <c r="AM1270" s="38"/>
      <c r="AP1270" s="38"/>
    </row>
    <row r="1271" spans="9:42" x14ac:dyDescent="0.2">
      <c r="I1271" s="38"/>
      <c r="L1271" s="38"/>
      <c r="O1271" s="38"/>
      <c r="R1271" s="38"/>
      <c r="U1271" s="38"/>
      <c r="X1271" s="38"/>
      <c r="AA1271" s="38"/>
      <c r="AD1271" s="38"/>
      <c r="AG1271" s="38"/>
      <c r="AJ1271" s="38"/>
      <c r="AM1271" s="38"/>
      <c r="AP1271" s="38"/>
    </row>
    <row r="1272" spans="9:42" x14ac:dyDescent="0.2">
      <c r="I1272" s="38"/>
      <c r="L1272" s="38"/>
      <c r="O1272" s="38"/>
      <c r="R1272" s="38"/>
      <c r="U1272" s="38"/>
      <c r="X1272" s="38"/>
      <c r="AA1272" s="38"/>
      <c r="AD1272" s="38"/>
      <c r="AG1272" s="38"/>
      <c r="AJ1272" s="38"/>
      <c r="AM1272" s="38"/>
      <c r="AP1272" s="38"/>
    </row>
    <row r="1273" spans="9:42" x14ac:dyDescent="0.2">
      <c r="I1273" s="38"/>
      <c r="L1273" s="38"/>
      <c r="O1273" s="38"/>
      <c r="R1273" s="38"/>
      <c r="U1273" s="38"/>
      <c r="X1273" s="38"/>
      <c r="AA1273" s="38"/>
      <c r="AD1273" s="38"/>
      <c r="AG1273" s="38"/>
      <c r="AJ1273" s="38"/>
      <c r="AM1273" s="38"/>
      <c r="AP1273" s="38"/>
    </row>
    <row r="1274" spans="9:42" x14ac:dyDescent="0.2">
      <c r="I1274" s="38"/>
      <c r="L1274" s="38"/>
      <c r="O1274" s="38"/>
      <c r="R1274" s="38"/>
      <c r="U1274" s="38"/>
      <c r="X1274" s="38"/>
      <c r="AA1274" s="38"/>
      <c r="AD1274" s="38"/>
      <c r="AG1274" s="38"/>
      <c r="AJ1274" s="38"/>
      <c r="AM1274" s="38"/>
      <c r="AP1274" s="38"/>
    </row>
    <row r="1275" spans="9:42" x14ac:dyDescent="0.2">
      <c r="I1275" s="38"/>
      <c r="L1275" s="38"/>
      <c r="O1275" s="38"/>
      <c r="R1275" s="38"/>
      <c r="U1275" s="38"/>
      <c r="X1275" s="38"/>
      <c r="AA1275" s="38"/>
      <c r="AD1275" s="38"/>
      <c r="AG1275" s="38"/>
      <c r="AJ1275" s="38"/>
      <c r="AM1275" s="38"/>
      <c r="AP1275" s="38"/>
    </row>
    <row r="1276" spans="9:42" x14ac:dyDescent="0.2">
      <c r="I1276" s="38"/>
      <c r="L1276" s="38"/>
      <c r="O1276" s="38"/>
      <c r="R1276" s="38"/>
      <c r="U1276" s="38"/>
      <c r="X1276" s="38"/>
      <c r="AA1276" s="38"/>
      <c r="AD1276" s="38"/>
      <c r="AG1276" s="38"/>
      <c r="AJ1276" s="38"/>
      <c r="AM1276" s="38"/>
      <c r="AP1276" s="38"/>
    </row>
    <row r="1277" spans="9:42" x14ac:dyDescent="0.2">
      <c r="I1277" s="38"/>
      <c r="L1277" s="38"/>
      <c r="O1277" s="38"/>
      <c r="R1277" s="38"/>
      <c r="U1277" s="38"/>
      <c r="X1277" s="38"/>
      <c r="AA1277" s="38"/>
      <c r="AD1277" s="38"/>
      <c r="AG1277" s="38"/>
      <c r="AJ1277" s="38"/>
      <c r="AM1277" s="38"/>
      <c r="AP1277" s="38"/>
    </row>
    <row r="1278" spans="9:42" x14ac:dyDescent="0.2">
      <c r="I1278" s="38"/>
      <c r="L1278" s="38"/>
      <c r="O1278" s="38"/>
      <c r="R1278" s="38"/>
      <c r="U1278" s="38"/>
      <c r="X1278" s="38"/>
      <c r="AA1278" s="38"/>
      <c r="AD1278" s="38"/>
      <c r="AG1278" s="38"/>
      <c r="AJ1278" s="38"/>
      <c r="AM1278" s="38"/>
      <c r="AP1278" s="38"/>
    </row>
    <row r="1279" spans="9:42" x14ac:dyDescent="0.2">
      <c r="I1279" s="38"/>
      <c r="L1279" s="38"/>
      <c r="O1279" s="38"/>
      <c r="R1279" s="38"/>
      <c r="U1279" s="38"/>
      <c r="X1279" s="38"/>
      <c r="AA1279" s="38"/>
      <c r="AD1279" s="38"/>
      <c r="AG1279" s="38"/>
      <c r="AJ1279" s="38"/>
      <c r="AM1279" s="38"/>
      <c r="AP1279" s="38"/>
    </row>
    <row r="1280" spans="9:42" x14ac:dyDescent="0.2">
      <c r="I1280" s="38"/>
      <c r="L1280" s="38"/>
      <c r="O1280" s="38"/>
      <c r="R1280" s="38"/>
      <c r="U1280" s="38"/>
      <c r="X1280" s="38"/>
      <c r="AA1280" s="38"/>
      <c r="AD1280" s="38"/>
      <c r="AG1280" s="38"/>
      <c r="AJ1280" s="38"/>
      <c r="AM1280" s="38"/>
      <c r="AP1280" s="38"/>
    </row>
    <row r="1281" spans="9:42" x14ac:dyDescent="0.2">
      <c r="I1281" s="38"/>
      <c r="L1281" s="38"/>
      <c r="O1281" s="38"/>
      <c r="R1281" s="38"/>
      <c r="U1281" s="38"/>
      <c r="X1281" s="38"/>
      <c r="AA1281" s="38"/>
      <c r="AD1281" s="38"/>
      <c r="AG1281" s="38"/>
      <c r="AJ1281" s="38"/>
      <c r="AM1281" s="38"/>
      <c r="AP1281" s="38"/>
    </row>
    <row r="1282" spans="9:42" x14ac:dyDescent="0.2">
      <c r="I1282" s="38"/>
      <c r="L1282" s="38"/>
      <c r="O1282" s="38"/>
      <c r="R1282" s="38"/>
      <c r="U1282" s="38"/>
      <c r="X1282" s="38"/>
      <c r="AA1282" s="38"/>
      <c r="AD1282" s="38"/>
      <c r="AG1282" s="38"/>
      <c r="AJ1282" s="38"/>
      <c r="AM1282" s="38"/>
      <c r="AP1282" s="38"/>
    </row>
    <row r="1283" spans="9:42" x14ac:dyDescent="0.2">
      <c r="I1283" s="38"/>
      <c r="L1283" s="38"/>
      <c r="O1283" s="38"/>
      <c r="R1283" s="38"/>
      <c r="U1283" s="38"/>
      <c r="X1283" s="38"/>
      <c r="AA1283" s="38"/>
      <c r="AD1283" s="38"/>
      <c r="AG1283" s="38"/>
      <c r="AJ1283" s="38"/>
      <c r="AM1283" s="38"/>
      <c r="AP1283" s="38"/>
    </row>
    <row r="1284" spans="9:42" x14ac:dyDescent="0.2">
      <c r="I1284" s="38"/>
      <c r="L1284" s="38"/>
      <c r="O1284" s="38"/>
      <c r="R1284" s="38"/>
      <c r="U1284" s="38"/>
      <c r="X1284" s="38"/>
      <c r="AA1284" s="38"/>
      <c r="AD1284" s="38"/>
      <c r="AG1284" s="38"/>
      <c r="AJ1284" s="38"/>
      <c r="AM1284" s="38"/>
      <c r="AP1284" s="38"/>
    </row>
    <row r="1285" spans="9:42" x14ac:dyDescent="0.2">
      <c r="I1285" s="38"/>
      <c r="L1285" s="38"/>
      <c r="O1285" s="38"/>
      <c r="R1285" s="38"/>
      <c r="U1285" s="38"/>
      <c r="X1285" s="38"/>
      <c r="AA1285" s="38"/>
      <c r="AD1285" s="38"/>
      <c r="AG1285" s="38"/>
      <c r="AJ1285" s="38"/>
      <c r="AM1285" s="38"/>
      <c r="AP1285" s="38"/>
    </row>
    <row r="1286" spans="9:42" x14ac:dyDescent="0.2">
      <c r="I1286" s="38"/>
      <c r="L1286" s="38"/>
      <c r="O1286" s="38"/>
      <c r="R1286" s="38"/>
      <c r="U1286" s="38"/>
      <c r="X1286" s="38"/>
      <c r="AA1286" s="38"/>
      <c r="AD1286" s="38"/>
      <c r="AG1286" s="38"/>
      <c r="AJ1286" s="38"/>
      <c r="AM1286" s="38"/>
      <c r="AP1286" s="38"/>
    </row>
    <row r="1287" spans="9:42" x14ac:dyDescent="0.2">
      <c r="I1287" s="38"/>
      <c r="L1287" s="38"/>
      <c r="O1287" s="38"/>
      <c r="R1287" s="38"/>
      <c r="U1287" s="38"/>
      <c r="X1287" s="38"/>
      <c r="AA1287" s="38"/>
      <c r="AD1287" s="38"/>
      <c r="AG1287" s="38"/>
      <c r="AJ1287" s="38"/>
      <c r="AM1287" s="38"/>
      <c r="AP1287" s="38"/>
    </row>
    <row r="1288" spans="9:42" x14ac:dyDescent="0.2">
      <c r="I1288" s="38"/>
      <c r="L1288" s="38"/>
      <c r="O1288" s="38"/>
      <c r="R1288" s="38"/>
      <c r="U1288" s="38"/>
      <c r="X1288" s="38"/>
      <c r="AA1288" s="38"/>
      <c r="AD1288" s="38"/>
      <c r="AG1288" s="38"/>
      <c r="AJ1288" s="38"/>
      <c r="AM1288" s="38"/>
      <c r="AP1288" s="38"/>
    </row>
    <row r="1289" spans="9:42" x14ac:dyDescent="0.2">
      <c r="I1289" s="38"/>
      <c r="L1289" s="38"/>
      <c r="O1289" s="38"/>
      <c r="R1289" s="38"/>
      <c r="U1289" s="38"/>
      <c r="X1289" s="38"/>
      <c r="AA1289" s="38"/>
      <c r="AD1289" s="38"/>
      <c r="AG1289" s="38"/>
      <c r="AJ1289" s="38"/>
      <c r="AM1289" s="38"/>
      <c r="AP1289" s="38"/>
    </row>
    <row r="1290" spans="9:42" x14ac:dyDescent="0.2">
      <c r="I1290" s="38"/>
      <c r="L1290" s="38"/>
      <c r="O1290" s="38"/>
      <c r="R1290" s="38"/>
      <c r="U1290" s="38"/>
      <c r="X1290" s="38"/>
      <c r="AA1290" s="38"/>
      <c r="AD1290" s="38"/>
      <c r="AG1290" s="38"/>
      <c r="AJ1290" s="38"/>
      <c r="AM1290" s="38"/>
      <c r="AP1290" s="38"/>
    </row>
    <row r="1291" spans="9:42" x14ac:dyDescent="0.2">
      <c r="I1291" s="38"/>
      <c r="L1291" s="38"/>
      <c r="O1291" s="38"/>
      <c r="R1291" s="38"/>
      <c r="U1291" s="38"/>
      <c r="X1291" s="38"/>
      <c r="AA1291" s="38"/>
      <c r="AD1291" s="38"/>
      <c r="AG1291" s="38"/>
      <c r="AJ1291" s="38"/>
      <c r="AM1291" s="38"/>
      <c r="AP1291" s="38"/>
    </row>
    <row r="1292" spans="9:42" x14ac:dyDescent="0.2">
      <c r="I1292" s="38"/>
      <c r="L1292" s="38"/>
      <c r="O1292" s="38"/>
      <c r="R1292" s="38"/>
      <c r="U1292" s="38"/>
      <c r="X1292" s="38"/>
      <c r="AA1292" s="38"/>
      <c r="AD1292" s="38"/>
      <c r="AG1292" s="38"/>
      <c r="AJ1292" s="38"/>
      <c r="AM1292" s="38"/>
      <c r="AP1292" s="38"/>
    </row>
    <row r="1293" spans="9:42" x14ac:dyDescent="0.2">
      <c r="I1293" s="38"/>
      <c r="L1293" s="38"/>
      <c r="O1293" s="38"/>
      <c r="R1293" s="38"/>
      <c r="U1293" s="38"/>
      <c r="X1293" s="38"/>
      <c r="AA1293" s="38"/>
      <c r="AD1293" s="38"/>
      <c r="AG1293" s="38"/>
      <c r="AJ1293" s="38"/>
      <c r="AM1293" s="38"/>
      <c r="AP1293" s="38"/>
    </row>
    <row r="1294" spans="9:42" x14ac:dyDescent="0.2">
      <c r="I1294" s="38"/>
      <c r="L1294" s="38"/>
      <c r="O1294" s="38"/>
      <c r="R1294" s="38"/>
      <c r="U1294" s="38"/>
      <c r="X1294" s="38"/>
      <c r="AA1294" s="38"/>
      <c r="AD1294" s="38"/>
      <c r="AG1294" s="38"/>
      <c r="AJ1294" s="38"/>
      <c r="AM1294" s="38"/>
      <c r="AP1294" s="38"/>
    </row>
    <row r="1295" spans="9:42" x14ac:dyDescent="0.2">
      <c r="I1295" s="38"/>
      <c r="L1295" s="38"/>
      <c r="O1295" s="38"/>
      <c r="R1295" s="38"/>
      <c r="U1295" s="38"/>
      <c r="X1295" s="38"/>
      <c r="AA1295" s="38"/>
      <c r="AD1295" s="38"/>
      <c r="AG1295" s="38"/>
      <c r="AJ1295" s="38"/>
      <c r="AM1295" s="38"/>
      <c r="AP1295" s="38"/>
    </row>
    <row r="1296" spans="9:42" x14ac:dyDescent="0.2">
      <c r="I1296" s="38"/>
      <c r="L1296" s="38"/>
      <c r="O1296" s="38"/>
      <c r="R1296" s="38"/>
      <c r="U1296" s="38"/>
      <c r="X1296" s="38"/>
      <c r="AA1296" s="38"/>
      <c r="AD1296" s="38"/>
      <c r="AG1296" s="38"/>
      <c r="AJ1296" s="38"/>
      <c r="AM1296" s="38"/>
      <c r="AP1296" s="38"/>
    </row>
    <row r="1297" spans="9:42" x14ac:dyDescent="0.2">
      <c r="I1297" s="38"/>
      <c r="L1297" s="38"/>
      <c r="O1297" s="38"/>
      <c r="R1297" s="38"/>
      <c r="U1297" s="38"/>
      <c r="X1297" s="38"/>
      <c r="AA1297" s="38"/>
      <c r="AD1297" s="38"/>
      <c r="AG1297" s="38"/>
      <c r="AJ1297" s="38"/>
      <c r="AM1297" s="38"/>
      <c r="AP1297" s="38"/>
    </row>
    <row r="1298" spans="9:42" x14ac:dyDescent="0.2">
      <c r="I1298" s="38"/>
      <c r="L1298" s="38"/>
      <c r="O1298" s="38"/>
      <c r="R1298" s="38"/>
      <c r="U1298" s="38"/>
      <c r="X1298" s="38"/>
      <c r="AA1298" s="38"/>
      <c r="AD1298" s="38"/>
      <c r="AG1298" s="38"/>
      <c r="AJ1298" s="38"/>
      <c r="AM1298" s="38"/>
      <c r="AP1298" s="38"/>
    </row>
    <row r="1299" spans="9:42" x14ac:dyDescent="0.2">
      <c r="I1299" s="38"/>
      <c r="L1299" s="38"/>
      <c r="O1299" s="38"/>
      <c r="R1299" s="38"/>
      <c r="U1299" s="38"/>
      <c r="X1299" s="38"/>
      <c r="AA1299" s="38"/>
      <c r="AD1299" s="38"/>
      <c r="AG1299" s="38"/>
      <c r="AJ1299" s="38"/>
      <c r="AM1299" s="38"/>
      <c r="AP1299" s="38"/>
    </row>
    <row r="1300" spans="9:42" x14ac:dyDescent="0.2">
      <c r="I1300" s="38"/>
      <c r="L1300" s="38"/>
      <c r="O1300" s="38"/>
      <c r="R1300" s="38"/>
      <c r="U1300" s="38"/>
      <c r="X1300" s="38"/>
      <c r="AA1300" s="38"/>
      <c r="AD1300" s="38"/>
      <c r="AG1300" s="38"/>
      <c r="AJ1300" s="38"/>
      <c r="AM1300" s="38"/>
      <c r="AP1300" s="38"/>
    </row>
    <row r="1301" spans="9:42" x14ac:dyDescent="0.2">
      <c r="I1301" s="38"/>
      <c r="L1301" s="38"/>
      <c r="O1301" s="38"/>
      <c r="R1301" s="38"/>
      <c r="U1301" s="38"/>
      <c r="X1301" s="38"/>
      <c r="AA1301" s="38"/>
      <c r="AD1301" s="38"/>
      <c r="AG1301" s="38"/>
      <c r="AJ1301" s="38"/>
      <c r="AM1301" s="38"/>
      <c r="AP1301" s="38"/>
    </row>
    <row r="1302" spans="9:42" x14ac:dyDescent="0.2">
      <c r="I1302" s="38"/>
      <c r="L1302" s="38"/>
      <c r="O1302" s="38"/>
      <c r="R1302" s="38"/>
      <c r="U1302" s="38"/>
      <c r="X1302" s="38"/>
      <c r="AA1302" s="38"/>
      <c r="AD1302" s="38"/>
      <c r="AG1302" s="38"/>
      <c r="AJ1302" s="38"/>
      <c r="AM1302" s="38"/>
      <c r="AP1302" s="38"/>
    </row>
    <row r="1303" spans="9:42" x14ac:dyDescent="0.2">
      <c r="I1303" s="38"/>
      <c r="L1303" s="38"/>
      <c r="O1303" s="38"/>
      <c r="R1303" s="38"/>
      <c r="U1303" s="38"/>
      <c r="X1303" s="38"/>
      <c r="AA1303" s="38"/>
      <c r="AD1303" s="38"/>
      <c r="AG1303" s="38"/>
      <c r="AJ1303" s="38"/>
      <c r="AM1303" s="38"/>
      <c r="AP1303" s="38"/>
    </row>
    <row r="1304" spans="9:42" x14ac:dyDescent="0.2">
      <c r="I1304" s="38"/>
      <c r="L1304" s="38"/>
      <c r="O1304" s="38"/>
      <c r="R1304" s="38"/>
      <c r="U1304" s="38"/>
      <c r="X1304" s="38"/>
      <c r="AA1304" s="38"/>
      <c r="AD1304" s="38"/>
      <c r="AG1304" s="38"/>
      <c r="AJ1304" s="38"/>
      <c r="AM1304" s="38"/>
      <c r="AP1304" s="38"/>
    </row>
    <row r="1305" spans="9:42" x14ac:dyDescent="0.2">
      <c r="I1305" s="38"/>
      <c r="L1305" s="38"/>
      <c r="O1305" s="38"/>
      <c r="R1305" s="38"/>
      <c r="U1305" s="38"/>
      <c r="X1305" s="38"/>
      <c r="AA1305" s="38"/>
      <c r="AD1305" s="38"/>
      <c r="AG1305" s="38"/>
      <c r="AJ1305" s="38"/>
      <c r="AM1305" s="38"/>
      <c r="AP1305" s="38"/>
    </row>
    <row r="1306" spans="9:42" x14ac:dyDescent="0.2">
      <c r="I1306" s="38"/>
      <c r="L1306" s="38"/>
      <c r="O1306" s="38"/>
      <c r="R1306" s="38"/>
      <c r="U1306" s="38"/>
      <c r="X1306" s="38"/>
      <c r="AA1306" s="38"/>
      <c r="AD1306" s="38"/>
      <c r="AG1306" s="38"/>
      <c r="AJ1306" s="38"/>
      <c r="AM1306" s="38"/>
      <c r="AP1306" s="38"/>
    </row>
    <row r="1307" spans="9:42" x14ac:dyDescent="0.2">
      <c r="I1307" s="38"/>
      <c r="L1307" s="38"/>
      <c r="O1307" s="38"/>
      <c r="R1307" s="38"/>
      <c r="U1307" s="38"/>
      <c r="X1307" s="38"/>
      <c r="AA1307" s="38"/>
      <c r="AD1307" s="38"/>
      <c r="AG1307" s="38"/>
      <c r="AJ1307" s="38"/>
      <c r="AM1307" s="38"/>
      <c r="AP1307" s="38"/>
    </row>
    <row r="1308" spans="9:42" x14ac:dyDescent="0.2">
      <c r="I1308" s="38"/>
      <c r="L1308" s="38"/>
      <c r="O1308" s="38"/>
      <c r="R1308" s="38"/>
      <c r="U1308" s="38"/>
      <c r="X1308" s="38"/>
      <c r="AA1308" s="38"/>
      <c r="AD1308" s="38"/>
      <c r="AG1308" s="38"/>
      <c r="AJ1308" s="38"/>
      <c r="AM1308" s="38"/>
      <c r="AP1308" s="38"/>
    </row>
    <row r="1309" spans="9:42" x14ac:dyDescent="0.2">
      <c r="I1309" s="38"/>
      <c r="L1309" s="38"/>
      <c r="O1309" s="38"/>
      <c r="R1309" s="38"/>
      <c r="U1309" s="38"/>
      <c r="X1309" s="38"/>
      <c r="AA1309" s="38"/>
      <c r="AD1309" s="38"/>
      <c r="AG1309" s="38"/>
      <c r="AJ1309" s="38"/>
      <c r="AM1309" s="38"/>
      <c r="AP1309" s="38"/>
    </row>
    <row r="1310" spans="9:42" x14ac:dyDescent="0.2">
      <c r="I1310" s="38"/>
      <c r="L1310" s="38"/>
      <c r="O1310" s="38"/>
      <c r="R1310" s="38"/>
      <c r="U1310" s="38"/>
      <c r="X1310" s="38"/>
      <c r="AA1310" s="38"/>
      <c r="AD1310" s="38"/>
      <c r="AG1310" s="38"/>
      <c r="AJ1310" s="38"/>
      <c r="AM1310" s="38"/>
      <c r="AP1310" s="38"/>
    </row>
    <row r="1311" spans="9:42" x14ac:dyDescent="0.2">
      <c r="I1311" s="38"/>
      <c r="L1311" s="38"/>
      <c r="O1311" s="38"/>
      <c r="R1311" s="38"/>
      <c r="U1311" s="38"/>
      <c r="X1311" s="38"/>
      <c r="AA1311" s="38"/>
      <c r="AD1311" s="38"/>
      <c r="AG1311" s="38"/>
      <c r="AJ1311" s="38"/>
      <c r="AM1311" s="38"/>
      <c r="AP1311" s="38"/>
    </row>
    <row r="1312" spans="9:42" x14ac:dyDescent="0.2">
      <c r="I1312" s="38"/>
      <c r="L1312" s="38"/>
      <c r="O1312" s="38"/>
      <c r="R1312" s="38"/>
      <c r="U1312" s="38"/>
      <c r="X1312" s="38"/>
      <c r="AA1312" s="38"/>
      <c r="AD1312" s="38"/>
      <c r="AG1312" s="38"/>
      <c r="AJ1312" s="38"/>
      <c r="AM1312" s="38"/>
      <c r="AP1312" s="38"/>
    </row>
    <row r="1313" spans="9:42" x14ac:dyDescent="0.2">
      <c r="I1313" s="38"/>
      <c r="L1313" s="38"/>
      <c r="O1313" s="38"/>
      <c r="R1313" s="38"/>
      <c r="U1313" s="38"/>
      <c r="X1313" s="38"/>
      <c r="AA1313" s="38"/>
      <c r="AD1313" s="38"/>
      <c r="AG1313" s="38"/>
      <c r="AJ1313" s="38"/>
      <c r="AM1313" s="38"/>
      <c r="AP1313" s="38"/>
    </row>
    <row r="1314" spans="9:42" x14ac:dyDescent="0.2">
      <c r="I1314" s="38"/>
      <c r="L1314" s="38"/>
      <c r="O1314" s="38"/>
      <c r="R1314" s="38"/>
      <c r="U1314" s="38"/>
      <c r="X1314" s="38"/>
      <c r="AA1314" s="38"/>
      <c r="AD1314" s="38"/>
      <c r="AG1314" s="38"/>
      <c r="AJ1314" s="38"/>
      <c r="AM1314" s="38"/>
      <c r="AP1314" s="38"/>
    </row>
    <row r="1315" spans="9:42" x14ac:dyDescent="0.2">
      <c r="I1315" s="38"/>
      <c r="L1315" s="38"/>
      <c r="O1315" s="38"/>
      <c r="R1315" s="38"/>
      <c r="U1315" s="38"/>
      <c r="X1315" s="38"/>
      <c r="AA1315" s="38"/>
      <c r="AD1315" s="38"/>
      <c r="AG1315" s="38"/>
      <c r="AJ1315" s="38"/>
      <c r="AM1315" s="38"/>
      <c r="AP1315" s="38"/>
    </row>
    <row r="1316" spans="9:42" x14ac:dyDescent="0.2">
      <c r="I1316" s="38"/>
      <c r="L1316" s="38"/>
      <c r="O1316" s="38"/>
      <c r="R1316" s="38"/>
      <c r="U1316" s="38"/>
      <c r="X1316" s="38"/>
      <c r="AA1316" s="38"/>
      <c r="AD1316" s="38"/>
      <c r="AG1316" s="38"/>
      <c r="AJ1316" s="38"/>
      <c r="AM1316" s="38"/>
      <c r="AP1316" s="38"/>
    </row>
    <row r="1317" spans="9:42" x14ac:dyDescent="0.2">
      <c r="I1317" s="38"/>
      <c r="L1317" s="38"/>
      <c r="O1317" s="38"/>
      <c r="R1317" s="38"/>
      <c r="U1317" s="38"/>
      <c r="X1317" s="38"/>
      <c r="AA1317" s="38"/>
      <c r="AD1317" s="38"/>
      <c r="AG1317" s="38"/>
      <c r="AJ1317" s="38"/>
      <c r="AM1317" s="38"/>
      <c r="AP1317" s="38"/>
    </row>
    <row r="1318" spans="9:42" x14ac:dyDescent="0.2">
      <c r="I1318" s="38"/>
      <c r="L1318" s="38"/>
      <c r="O1318" s="38"/>
      <c r="R1318" s="38"/>
      <c r="U1318" s="38"/>
      <c r="X1318" s="38"/>
      <c r="AA1318" s="38"/>
      <c r="AD1318" s="38"/>
      <c r="AG1318" s="38"/>
      <c r="AJ1318" s="38"/>
      <c r="AM1318" s="38"/>
      <c r="AP1318" s="38"/>
    </row>
    <row r="1319" spans="9:42" x14ac:dyDescent="0.2">
      <c r="I1319" s="38"/>
      <c r="L1319" s="38"/>
      <c r="O1319" s="38"/>
      <c r="R1319" s="38"/>
      <c r="U1319" s="38"/>
      <c r="X1319" s="38"/>
      <c r="AA1319" s="38"/>
      <c r="AD1319" s="38"/>
      <c r="AG1319" s="38"/>
      <c r="AJ1319" s="38"/>
      <c r="AM1319" s="38"/>
      <c r="AP1319" s="38"/>
    </row>
    <row r="1320" spans="9:42" x14ac:dyDescent="0.2">
      <c r="I1320" s="38"/>
      <c r="L1320" s="38"/>
      <c r="O1320" s="38"/>
      <c r="R1320" s="38"/>
      <c r="U1320" s="38"/>
      <c r="X1320" s="38"/>
      <c r="AA1320" s="38"/>
      <c r="AD1320" s="38"/>
      <c r="AG1320" s="38"/>
      <c r="AJ1320" s="38"/>
      <c r="AM1320" s="38"/>
      <c r="AP1320" s="38"/>
    </row>
    <row r="1321" spans="9:42" x14ac:dyDescent="0.2">
      <c r="I1321" s="38"/>
      <c r="L1321" s="38"/>
      <c r="O1321" s="38"/>
      <c r="R1321" s="38"/>
      <c r="U1321" s="38"/>
      <c r="X1321" s="38"/>
      <c r="AA1321" s="38"/>
      <c r="AD1321" s="38"/>
      <c r="AG1321" s="38"/>
      <c r="AJ1321" s="38"/>
      <c r="AM1321" s="38"/>
      <c r="AP1321" s="38"/>
    </row>
    <row r="1322" spans="9:42" x14ac:dyDescent="0.2">
      <c r="I1322" s="38"/>
      <c r="L1322" s="38"/>
      <c r="O1322" s="38"/>
      <c r="R1322" s="38"/>
      <c r="U1322" s="38"/>
      <c r="X1322" s="38"/>
      <c r="AA1322" s="38"/>
      <c r="AD1322" s="38"/>
      <c r="AG1322" s="38"/>
      <c r="AJ1322" s="38"/>
      <c r="AM1322" s="38"/>
      <c r="AP1322" s="38"/>
    </row>
    <row r="1323" spans="9:42" x14ac:dyDescent="0.2">
      <c r="I1323" s="38"/>
      <c r="L1323" s="38"/>
      <c r="O1323" s="38"/>
      <c r="R1323" s="38"/>
      <c r="U1323" s="38"/>
      <c r="X1323" s="38"/>
      <c r="AA1323" s="38"/>
      <c r="AD1323" s="38"/>
      <c r="AG1323" s="38"/>
      <c r="AJ1323" s="38"/>
      <c r="AM1323" s="38"/>
      <c r="AP1323" s="38"/>
    </row>
    <row r="1324" spans="9:42" x14ac:dyDescent="0.2">
      <c r="I1324" s="38"/>
      <c r="L1324" s="38"/>
      <c r="O1324" s="38"/>
      <c r="R1324" s="38"/>
      <c r="U1324" s="38"/>
      <c r="X1324" s="38"/>
      <c r="AA1324" s="38"/>
      <c r="AD1324" s="38"/>
      <c r="AG1324" s="38"/>
      <c r="AJ1324" s="38"/>
      <c r="AM1324" s="38"/>
      <c r="AP1324" s="38"/>
    </row>
    <row r="1325" spans="9:42" x14ac:dyDescent="0.2">
      <c r="I1325" s="38"/>
      <c r="L1325" s="38"/>
      <c r="O1325" s="38"/>
      <c r="R1325" s="38"/>
      <c r="U1325" s="38"/>
      <c r="X1325" s="38"/>
      <c r="AA1325" s="38"/>
      <c r="AD1325" s="38"/>
      <c r="AG1325" s="38"/>
      <c r="AJ1325" s="38"/>
      <c r="AM1325" s="38"/>
      <c r="AP1325" s="38"/>
    </row>
    <row r="1326" spans="9:42" x14ac:dyDescent="0.2">
      <c r="I1326" s="38"/>
      <c r="L1326" s="38"/>
      <c r="O1326" s="38"/>
      <c r="R1326" s="38"/>
      <c r="U1326" s="38"/>
      <c r="X1326" s="38"/>
      <c r="AA1326" s="38"/>
      <c r="AD1326" s="38"/>
      <c r="AG1326" s="38"/>
      <c r="AJ1326" s="38"/>
      <c r="AM1326" s="38"/>
      <c r="AP1326" s="38"/>
    </row>
    <row r="1327" spans="9:42" x14ac:dyDescent="0.2">
      <c r="I1327" s="38"/>
      <c r="L1327" s="38"/>
      <c r="O1327" s="38"/>
      <c r="R1327" s="38"/>
      <c r="U1327" s="38"/>
      <c r="X1327" s="38"/>
      <c r="AA1327" s="38"/>
      <c r="AD1327" s="38"/>
      <c r="AG1327" s="38"/>
      <c r="AJ1327" s="38"/>
      <c r="AM1327" s="38"/>
      <c r="AP1327" s="38"/>
    </row>
    <row r="1328" spans="9:42" x14ac:dyDescent="0.2">
      <c r="I1328" s="38"/>
      <c r="L1328" s="38"/>
      <c r="O1328" s="38"/>
      <c r="R1328" s="38"/>
      <c r="U1328" s="38"/>
      <c r="X1328" s="38"/>
      <c r="AA1328" s="38"/>
      <c r="AD1328" s="38"/>
      <c r="AG1328" s="38"/>
      <c r="AJ1328" s="38"/>
      <c r="AM1328" s="38"/>
      <c r="AP1328" s="38"/>
    </row>
    <row r="1329" spans="9:42" x14ac:dyDescent="0.2">
      <c r="I1329" s="38"/>
      <c r="L1329" s="38"/>
      <c r="O1329" s="38"/>
      <c r="R1329" s="38"/>
      <c r="U1329" s="38"/>
      <c r="X1329" s="38"/>
      <c r="AA1329" s="38"/>
      <c r="AD1329" s="38"/>
      <c r="AG1329" s="38"/>
      <c r="AJ1329" s="38"/>
      <c r="AM1329" s="38"/>
      <c r="AP1329" s="38"/>
    </row>
    <row r="1330" spans="9:42" x14ac:dyDescent="0.2">
      <c r="I1330" s="38"/>
      <c r="L1330" s="38"/>
      <c r="O1330" s="38"/>
      <c r="R1330" s="38"/>
      <c r="U1330" s="38"/>
      <c r="X1330" s="38"/>
      <c r="AA1330" s="38"/>
      <c r="AD1330" s="38"/>
      <c r="AG1330" s="38"/>
      <c r="AJ1330" s="38"/>
      <c r="AM1330" s="38"/>
      <c r="AP1330" s="38"/>
    </row>
    <row r="1331" spans="9:42" x14ac:dyDescent="0.2">
      <c r="I1331" s="38"/>
      <c r="L1331" s="38"/>
      <c r="O1331" s="38"/>
      <c r="R1331" s="38"/>
      <c r="U1331" s="38"/>
      <c r="X1331" s="38"/>
      <c r="AA1331" s="38"/>
      <c r="AD1331" s="38"/>
      <c r="AG1331" s="38"/>
      <c r="AJ1331" s="38"/>
      <c r="AM1331" s="38"/>
      <c r="AP1331" s="38"/>
    </row>
    <row r="1332" spans="9:42" x14ac:dyDescent="0.2">
      <c r="I1332" s="38"/>
      <c r="L1332" s="38"/>
      <c r="O1332" s="38"/>
      <c r="R1332" s="38"/>
      <c r="U1332" s="38"/>
      <c r="X1332" s="38"/>
      <c r="AA1332" s="38"/>
      <c r="AD1332" s="38"/>
      <c r="AG1332" s="38"/>
      <c r="AJ1332" s="38"/>
      <c r="AM1332" s="38"/>
      <c r="AP1332" s="38"/>
    </row>
    <row r="1333" spans="9:42" x14ac:dyDescent="0.2">
      <c r="I1333" s="38"/>
      <c r="L1333" s="38"/>
      <c r="O1333" s="38"/>
      <c r="R1333" s="38"/>
      <c r="U1333" s="38"/>
      <c r="X1333" s="38"/>
      <c r="AA1333" s="38"/>
      <c r="AD1333" s="38"/>
      <c r="AG1333" s="38"/>
      <c r="AJ1333" s="38"/>
      <c r="AM1333" s="38"/>
      <c r="AP1333" s="38"/>
    </row>
    <row r="1334" spans="9:42" x14ac:dyDescent="0.2">
      <c r="I1334" s="38"/>
      <c r="L1334" s="38"/>
      <c r="O1334" s="38"/>
      <c r="R1334" s="38"/>
      <c r="U1334" s="38"/>
      <c r="X1334" s="38"/>
      <c r="AA1334" s="38"/>
      <c r="AD1334" s="38"/>
      <c r="AG1334" s="38"/>
      <c r="AJ1334" s="38"/>
      <c r="AM1334" s="38"/>
      <c r="AP1334" s="38"/>
    </row>
    <row r="1335" spans="9:42" x14ac:dyDescent="0.2">
      <c r="I1335" s="38"/>
      <c r="L1335" s="38"/>
      <c r="O1335" s="38"/>
      <c r="R1335" s="38"/>
      <c r="U1335" s="38"/>
      <c r="X1335" s="38"/>
      <c r="AA1335" s="38"/>
      <c r="AD1335" s="38"/>
      <c r="AG1335" s="38"/>
      <c r="AJ1335" s="38"/>
      <c r="AM1335" s="38"/>
      <c r="AP1335" s="38"/>
    </row>
    <row r="1336" spans="9:42" x14ac:dyDescent="0.2">
      <c r="I1336" s="38"/>
      <c r="L1336" s="38"/>
      <c r="O1336" s="38"/>
      <c r="R1336" s="38"/>
      <c r="U1336" s="38"/>
      <c r="X1336" s="38"/>
      <c r="AA1336" s="38"/>
      <c r="AD1336" s="38"/>
      <c r="AG1336" s="38"/>
      <c r="AJ1336" s="38"/>
      <c r="AM1336" s="38"/>
      <c r="AP1336" s="38"/>
    </row>
    <row r="1337" spans="9:42" x14ac:dyDescent="0.2">
      <c r="I1337" s="38"/>
      <c r="L1337" s="38"/>
      <c r="O1337" s="38"/>
      <c r="R1337" s="38"/>
      <c r="U1337" s="38"/>
      <c r="X1337" s="38"/>
      <c r="AA1337" s="38"/>
      <c r="AD1337" s="38"/>
      <c r="AG1337" s="38"/>
      <c r="AJ1337" s="38"/>
      <c r="AM1337" s="38"/>
      <c r="AP1337" s="38"/>
    </row>
    <row r="1338" spans="9:42" x14ac:dyDescent="0.2">
      <c r="I1338" s="38"/>
      <c r="L1338" s="38"/>
      <c r="O1338" s="38"/>
      <c r="R1338" s="38"/>
      <c r="U1338" s="38"/>
      <c r="X1338" s="38"/>
      <c r="AA1338" s="38"/>
      <c r="AD1338" s="38"/>
      <c r="AG1338" s="38"/>
      <c r="AJ1338" s="38"/>
      <c r="AM1338" s="38"/>
      <c r="AP1338" s="38"/>
    </row>
    <row r="1339" spans="9:42" x14ac:dyDescent="0.2">
      <c r="I1339" s="38"/>
      <c r="L1339" s="38"/>
      <c r="O1339" s="38"/>
      <c r="R1339" s="38"/>
      <c r="U1339" s="38"/>
      <c r="X1339" s="38"/>
      <c r="AA1339" s="38"/>
      <c r="AD1339" s="38"/>
      <c r="AG1339" s="38"/>
      <c r="AJ1339" s="38"/>
      <c r="AM1339" s="38"/>
      <c r="AP1339" s="38"/>
    </row>
    <row r="1340" spans="9:42" x14ac:dyDescent="0.2">
      <c r="I1340" s="38"/>
      <c r="L1340" s="38"/>
      <c r="O1340" s="38"/>
      <c r="R1340" s="38"/>
      <c r="U1340" s="38"/>
      <c r="X1340" s="38"/>
      <c r="AA1340" s="38"/>
      <c r="AD1340" s="38"/>
      <c r="AG1340" s="38"/>
      <c r="AJ1340" s="38"/>
      <c r="AM1340" s="38"/>
      <c r="AP1340" s="38"/>
    </row>
    <row r="1341" spans="9:42" x14ac:dyDescent="0.2">
      <c r="I1341" s="38"/>
      <c r="L1341" s="38"/>
      <c r="O1341" s="38"/>
      <c r="R1341" s="38"/>
      <c r="U1341" s="38"/>
      <c r="X1341" s="38"/>
      <c r="AA1341" s="38"/>
      <c r="AD1341" s="38"/>
      <c r="AG1341" s="38"/>
      <c r="AJ1341" s="38"/>
      <c r="AM1341" s="38"/>
      <c r="AP1341" s="38"/>
    </row>
    <row r="1342" spans="9:42" x14ac:dyDescent="0.2">
      <c r="I1342" s="38"/>
      <c r="L1342" s="38"/>
      <c r="O1342" s="38"/>
      <c r="R1342" s="38"/>
      <c r="U1342" s="38"/>
      <c r="X1342" s="38"/>
      <c r="AA1342" s="38"/>
      <c r="AD1342" s="38"/>
      <c r="AG1342" s="38"/>
      <c r="AJ1342" s="38"/>
      <c r="AM1342" s="38"/>
      <c r="AP1342" s="38"/>
    </row>
    <row r="1343" spans="9:42" x14ac:dyDescent="0.2">
      <c r="I1343" s="38"/>
      <c r="L1343" s="38"/>
      <c r="O1343" s="38"/>
      <c r="R1343" s="38"/>
      <c r="U1343" s="38"/>
      <c r="X1343" s="38"/>
      <c r="AA1343" s="38"/>
      <c r="AD1343" s="38"/>
      <c r="AG1343" s="38"/>
      <c r="AJ1343" s="38"/>
      <c r="AM1343" s="38"/>
      <c r="AP1343" s="38"/>
    </row>
    <row r="1344" spans="9:42" x14ac:dyDescent="0.2">
      <c r="I1344" s="38"/>
      <c r="L1344" s="38"/>
      <c r="O1344" s="38"/>
      <c r="R1344" s="38"/>
      <c r="U1344" s="38"/>
      <c r="X1344" s="38"/>
      <c r="AA1344" s="38"/>
      <c r="AD1344" s="38"/>
      <c r="AG1344" s="38"/>
      <c r="AJ1344" s="38"/>
      <c r="AM1344" s="38"/>
      <c r="AP1344" s="38"/>
    </row>
    <row r="1345" spans="9:42" x14ac:dyDescent="0.2">
      <c r="I1345" s="38"/>
      <c r="L1345" s="38"/>
      <c r="O1345" s="38"/>
      <c r="R1345" s="38"/>
      <c r="U1345" s="38"/>
      <c r="X1345" s="38"/>
      <c r="AA1345" s="38"/>
      <c r="AD1345" s="38"/>
      <c r="AG1345" s="38"/>
      <c r="AJ1345" s="38"/>
      <c r="AM1345" s="38"/>
      <c r="AP1345" s="38"/>
    </row>
    <row r="1346" spans="9:42" x14ac:dyDescent="0.2">
      <c r="I1346" s="38"/>
      <c r="L1346" s="38"/>
      <c r="O1346" s="38"/>
      <c r="R1346" s="38"/>
      <c r="U1346" s="38"/>
      <c r="X1346" s="38"/>
      <c r="AA1346" s="38"/>
      <c r="AD1346" s="38"/>
      <c r="AG1346" s="38"/>
      <c r="AJ1346" s="38"/>
      <c r="AM1346" s="38"/>
      <c r="AP1346" s="38"/>
    </row>
    <row r="1347" spans="9:42" x14ac:dyDescent="0.2">
      <c r="I1347" s="38"/>
      <c r="L1347" s="38"/>
      <c r="O1347" s="38"/>
      <c r="R1347" s="38"/>
      <c r="U1347" s="38"/>
      <c r="X1347" s="38"/>
      <c r="AA1347" s="38"/>
      <c r="AD1347" s="38"/>
      <c r="AG1347" s="38"/>
      <c r="AJ1347" s="38"/>
      <c r="AM1347" s="38"/>
      <c r="AP1347" s="38"/>
    </row>
    <row r="1348" spans="9:42" x14ac:dyDescent="0.2">
      <c r="I1348" s="38"/>
      <c r="L1348" s="38"/>
      <c r="O1348" s="38"/>
      <c r="R1348" s="38"/>
      <c r="U1348" s="38"/>
      <c r="X1348" s="38"/>
      <c r="AA1348" s="38"/>
      <c r="AD1348" s="38"/>
      <c r="AG1348" s="38"/>
      <c r="AJ1348" s="38"/>
      <c r="AM1348" s="38"/>
      <c r="AP1348" s="38"/>
    </row>
    <row r="1349" spans="9:42" x14ac:dyDescent="0.2">
      <c r="I1349" s="38"/>
      <c r="L1349" s="38"/>
      <c r="O1349" s="38"/>
      <c r="R1349" s="38"/>
      <c r="U1349" s="38"/>
      <c r="X1349" s="38"/>
      <c r="AA1349" s="38"/>
      <c r="AD1349" s="38"/>
      <c r="AG1349" s="38"/>
      <c r="AJ1349" s="38"/>
      <c r="AM1349" s="38"/>
      <c r="AP1349" s="38"/>
    </row>
    <row r="1350" spans="9:42" x14ac:dyDescent="0.2">
      <c r="I1350" s="38"/>
      <c r="L1350" s="38"/>
      <c r="O1350" s="38"/>
      <c r="R1350" s="38"/>
      <c r="U1350" s="38"/>
      <c r="X1350" s="38"/>
      <c r="AA1350" s="38"/>
      <c r="AD1350" s="38"/>
      <c r="AG1350" s="38"/>
      <c r="AJ1350" s="38"/>
      <c r="AM1350" s="38"/>
      <c r="AP1350" s="38"/>
    </row>
    <row r="1351" spans="9:42" x14ac:dyDescent="0.2">
      <c r="I1351" s="38"/>
      <c r="L1351" s="38"/>
      <c r="O1351" s="38"/>
      <c r="R1351" s="38"/>
      <c r="U1351" s="38"/>
      <c r="X1351" s="38"/>
      <c r="AA1351" s="38"/>
      <c r="AD1351" s="38"/>
      <c r="AG1351" s="38"/>
      <c r="AJ1351" s="38"/>
      <c r="AM1351" s="38"/>
      <c r="AP1351" s="38"/>
    </row>
    <row r="1352" spans="9:42" x14ac:dyDescent="0.2">
      <c r="I1352" s="38"/>
      <c r="L1352" s="38"/>
      <c r="O1352" s="38"/>
      <c r="R1352" s="38"/>
      <c r="U1352" s="38"/>
      <c r="X1352" s="38"/>
      <c r="AA1352" s="38"/>
      <c r="AD1352" s="38"/>
      <c r="AG1352" s="38"/>
      <c r="AJ1352" s="38"/>
      <c r="AM1352" s="38"/>
      <c r="AP1352" s="38"/>
    </row>
    <row r="1353" spans="9:42" x14ac:dyDescent="0.2">
      <c r="I1353" s="38"/>
      <c r="L1353" s="38"/>
      <c r="O1353" s="38"/>
      <c r="R1353" s="38"/>
      <c r="U1353" s="38"/>
      <c r="X1353" s="38"/>
      <c r="AA1353" s="38"/>
      <c r="AD1353" s="38"/>
      <c r="AG1353" s="38"/>
      <c r="AJ1353" s="38"/>
      <c r="AM1353" s="38"/>
      <c r="AP1353" s="38"/>
    </row>
    <row r="1354" spans="9:42" x14ac:dyDescent="0.2">
      <c r="I1354" s="38"/>
      <c r="L1354" s="38"/>
      <c r="O1354" s="38"/>
      <c r="R1354" s="38"/>
      <c r="U1354" s="38"/>
      <c r="X1354" s="38"/>
      <c r="AA1354" s="38"/>
      <c r="AD1354" s="38"/>
      <c r="AG1354" s="38"/>
      <c r="AJ1354" s="38"/>
      <c r="AM1354" s="38"/>
      <c r="AP1354" s="38"/>
    </row>
    <row r="1355" spans="9:42" x14ac:dyDescent="0.2">
      <c r="I1355" s="38"/>
      <c r="L1355" s="38"/>
      <c r="O1355" s="38"/>
      <c r="R1355" s="38"/>
      <c r="U1355" s="38"/>
      <c r="X1355" s="38"/>
      <c r="AA1355" s="38"/>
      <c r="AD1355" s="38"/>
      <c r="AG1355" s="38"/>
      <c r="AJ1355" s="38"/>
      <c r="AM1355" s="38"/>
      <c r="AP1355" s="38"/>
    </row>
    <row r="1356" spans="9:42" x14ac:dyDescent="0.2">
      <c r="I1356" s="38"/>
      <c r="L1356" s="38"/>
      <c r="O1356" s="38"/>
      <c r="R1356" s="38"/>
      <c r="U1356" s="38"/>
      <c r="X1356" s="38"/>
      <c r="AA1356" s="38"/>
      <c r="AD1356" s="38"/>
      <c r="AG1356" s="38"/>
      <c r="AJ1356" s="38"/>
      <c r="AM1356" s="38"/>
      <c r="AP1356" s="38"/>
    </row>
    <row r="1357" spans="9:42" x14ac:dyDescent="0.2">
      <c r="I1357" s="38"/>
      <c r="L1357" s="38"/>
      <c r="O1357" s="38"/>
      <c r="R1357" s="38"/>
      <c r="U1357" s="38"/>
      <c r="X1357" s="38"/>
      <c r="AA1357" s="38"/>
      <c r="AD1357" s="38"/>
      <c r="AG1357" s="38"/>
      <c r="AJ1357" s="38"/>
      <c r="AM1357" s="38"/>
      <c r="AP1357" s="38"/>
    </row>
    <row r="1358" spans="9:42" x14ac:dyDescent="0.2">
      <c r="I1358" s="38"/>
      <c r="L1358" s="38"/>
      <c r="O1358" s="38"/>
      <c r="R1358" s="38"/>
      <c r="U1358" s="38"/>
      <c r="X1358" s="38"/>
      <c r="AA1358" s="38"/>
      <c r="AD1358" s="38"/>
      <c r="AG1358" s="38"/>
      <c r="AJ1358" s="38"/>
      <c r="AM1358" s="38"/>
      <c r="AP1358" s="38"/>
    </row>
    <row r="1359" spans="9:42" x14ac:dyDescent="0.2">
      <c r="I1359" s="38"/>
      <c r="L1359" s="38"/>
      <c r="O1359" s="38"/>
      <c r="R1359" s="38"/>
      <c r="U1359" s="38"/>
      <c r="X1359" s="38"/>
      <c r="AA1359" s="38"/>
      <c r="AD1359" s="38"/>
      <c r="AG1359" s="38"/>
      <c r="AJ1359" s="38"/>
      <c r="AM1359" s="38"/>
      <c r="AP1359" s="38"/>
    </row>
    <row r="1360" spans="9:42" x14ac:dyDescent="0.2">
      <c r="I1360" s="38"/>
      <c r="L1360" s="38"/>
      <c r="O1360" s="38"/>
      <c r="R1360" s="38"/>
      <c r="U1360" s="38"/>
      <c r="X1360" s="38"/>
      <c r="AA1360" s="38"/>
      <c r="AD1360" s="38"/>
      <c r="AG1360" s="38"/>
      <c r="AJ1360" s="38"/>
      <c r="AM1360" s="38"/>
      <c r="AP1360" s="38"/>
    </row>
    <row r="1361" spans="9:42" x14ac:dyDescent="0.2">
      <c r="I1361" s="38"/>
      <c r="L1361" s="38"/>
      <c r="O1361" s="38"/>
      <c r="R1361" s="38"/>
      <c r="U1361" s="38"/>
      <c r="X1361" s="38"/>
      <c r="AA1361" s="38"/>
      <c r="AD1361" s="38"/>
      <c r="AG1361" s="38"/>
      <c r="AJ1361" s="38"/>
      <c r="AM1361" s="38"/>
      <c r="AP1361" s="38"/>
    </row>
    <row r="1362" spans="9:42" x14ac:dyDescent="0.2">
      <c r="I1362" s="38"/>
      <c r="L1362" s="38"/>
      <c r="O1362" s="38"/>
      <c r="R1362" s="38"/>
      <c r="U1362" s="38"/>
      <c r="X1362" s="38"/>
      <c r="AA1362" s="38"/>
      <c r="AD1362" s="38"/>
      <c r="AG1362" s="38"/>
      <c r="AJ1362" s="38"/>
      <c r="AM1362" s="38"/>
      <c r="AP1362" s="38"/>
    </row>
    <row r="1363" spans="9:42" x14ac:dyDescent="0.2">
      <c r="I1363" s="38"/>
      <c r="L1363" s="38"/>
      <c r="O1363" s="38"/>
      <c r="R1363" s="38"/>
      <c r="U1363" s="38"/>
      <c r="X1363" s="38"/>
      <c r="AA1363" s="38"/>
      <c r="AD1363" s="38"/>
      <c r="AG1363" s="38"/>
      <c r="AJ1363" s="38"/>
      <c r="AM1363" s="38"/>
      <c r="AP1363" s="38"/>
    </row>
    <row r="1364" spans="9:42" x14ac:dyDescent="0.2">
      <c r="I1364" s="38"/>
      <c r="L1364" s="38"/>
      <c r="O1364" s="38"/>
      <c r="R1364" s="38"/>
      <c r="U1364" s="38"/>
      <c r="X1364" s="38"/>
      <c r="AA1364" s="38"/>
      <c r="AD1364" s="38"/>
      <c r="AG1364" s="38"/>
      <c r="AJ1364" s="38"/>
      <c r="AM1364" s="38"/>
      <c r="AP1364" s="38"/>
    </row>
    <row r="1365" spans="9:42" x14ac:dyDescent="0.2">
      <c r="I1365" s="38"/>
      <c r="L1365" s="38"/>
      <c r="O1365" s="38"/>
      <c r="R1365" s="38"/>
      <c r="U1365" s="38"/>
      <c r="X1365" s="38"/>
      <c r="AA1365" s="38"/>
      <c r="AD1365" s="38"/>
      <c r="AG1365" s="38"/>
      <c r="AJ1365" s="38"/>
      <c r="AM1365" s="38"/>
      <c r="AP1365" s="38"/>
    </row>
    <row r="1366" spans="9:42" x14ac:dyDescent="0.2">
      <c r="I1366" s="38"/>
      <c r="L1366" s="38"/>
      <c r="O1366" s="38"/>
      <c r="R1366" s="38"/>
      <c r="U1366" s="38"/>
      <c r="X1366" s="38"/>
      <c r="AA1366" s="38"/>
      <c r="AD1366" s="38"/>
      <c r="AG1366" s="38"/>
      <c r="AJ1366" s="38"/>
      <c r="AM1366" s="38"/>
      <c r="AP1366" s="38"/>
    </row>
    <row r="1367" spans="9:42" x14ac:dyDescent="0.2">
      <c r="I1367" s="38"/>
      <c r="L1367" s="38"/>
      <c r="O1367" s="38"/>
      <c r="R1367" s="38"/>
      <c r="U1367" s="38"/>
      <c r="X1367" s="38"/>
      <c r="AA1367" s="38"/>
      <c r="AD1367" s="38"/>
      <c r="AG1367" s="38"/>
      <c r="AJ1367" s="38"/>
      <c r="AM1367" s="38"/>
      <c r="AP1367" s="38"/>
    </row>
    <row r="1368" spans="9:42" x14ac:dyDescent="0.2">
      <c r="I1368" s="38"/>
      <c r="L1368" s="38"/>
      <c r="O1368" s="38"/>
      <c r="R1368" s="38"/>
      <c r="U1368" s="38"/>
      <c r="X1368" s="38"/>
      <c r="AA1368" s="38"/>
      <c r="AD1368" s="38"/>
      <c r="AG1368" s="38"/>
      <c r="AJ1368" s="38"/>
      <c r="AM1368" s="38"/>
      <c r="AP1368" s="38"/>
    </row>
    <row r="1369" spans="9:42" x14ac:dyDescent="0.2">
      <c r="I1369" s="38"/>
      <c r="L1369" s="38"/>
      <c r="O1369" s="38"/>
      <c r="R1369" s="38"/>
      <c r="U1369" s="38"/>
      <c r="X1369" s="38"/>
      <c r="AA1369" s="38"/>
      <c r="AD1369" s="38"/>
      <c r="AG1369" s="38"/>
      <c r="AJ1369" s="38"/>
      <c r="AM1369" s="38"/>
      <c r="AP1369" s="38"/>
    </row>
    <row r="1370" spans="9:42" x14ac:dyDescent="0.2">
      <c r="I1370" s="38"/>
      <c r="L1370" s="38"/>
      <c r="O1370" s="38"/>
      <c r="R1370" s="38"/>
      <c r="U1370" s="38"/>
      <c r="X1370" s="38"/>
      <c r="AA1370" s="38"/>
      <c r="AD1370" s="38"/>
      <c r="AG1370" s="38"/>
      <c r="AJ1370" s="38"/>
      <c r="AM1370" s="38"/>
      <c r="AP1370" s="38"/>
    </row>
    <row r="1371" spans="9:42" x14ac:dyDescent="0.2">
      <c r="I1371" s="38"/>
      <c r="L1371" s="38"/>
      <c r="O1371" s="38"/>
      <c r="R1371" s="38"/>
      <c r="U1371" s="38"/>
      <c r="X1371" s="38"/>
      <c r="AA1371" s="38"/>
      <c r="AD1371" s="38"/>
      <c r="AG1371" s="38"/>
      <c r="AJ1371" s="38"/>
      <c r="AM1371" s="38"/>
      <c r="AP1371" s="38"/>
    </row>
    <row r="1372" spans="9:42" x14ac:dyDescent="0.2">
      <c r="I1372" s="38"/>
      <c r="L1372" s="38"/>
      <c r="O1372" s="38"/>
      <c r="R1372" s="38"/>
      <c r="U1372" s="38"/>
      <c r="X1372" s="38"/>
      <c r="AA1372" s="38"/>
      <c r="AD1372" s="38"/>
      <c r="AG1372" s="38"/>
      <c r="AJ1372" s="38"/>
      <c r="AM1372" s="38"/>
      <c r="AP1372" s="38"/>
    </row>
    <row r="1373" spans="9:42" x14ac:dyDescent="0.2">
      <c r="I1373" s="38"/>
      <c r="L1373" s="38"/>
      <c r="O1373" s="38"/>
      <c r="R1373" s="38"/>
      <c r="U1373" s="38"/>
      <c r="X1373" s="38"/>
      <c r="AA1373" s="38"/>
      <c r="AD1373" s="38"/>
      <c r="AG1373" s="38"/>
      <c r="AJ1373" s="38"/>
      <c r="AM1373" s="38"/>
      <c r="AP1373" s="38"/>
    </row>
    <row r="1374" spans="9:42" x14ac:dyDescent="0.2">
      <c r="I1374" s="38"/>
      <c r="L1374" s="38"/>
      <c r="O1374" s="38"/>
      <c r="R1374" s="38"/>
      <c r="U1374" s="38"/>
      <c r="X1374" s="38"/>
      <c r="AA1374" s="38"/>
      <c r="AD1374" s="38"/>
      <c r="AG1374" s="38"/>
      <c r="AJ1374" s="38"/>
      <c r="AM1374" s="38"/>
      <c r="AP1374" s="38"/>
    </row>
    <row r="1375" spans="9:42" x14ac:dyDescent="0.2">
      <c r="I1375" s="38"/>
      <c r="L1375" s="38"/>
      <c r="O1375" s="38"/>
      <c r="R1375" s="38"/>
      <c r="U1375" s="38"/>
      <c r="X1375" s="38"/>
      <c r="AA1375" s="38"/>
      <c r="AD1375" s="38"/>
      <c r="AG1375" s="38"/>
      <c r="AJ1375" s="38"/>
      <c r="AM1375" s="38"/>
      <c r="AP1375" s="38"/>
    </row>
    <row r="1376" spans="9:42" x14ac:dyDescent="0.2">
      <c r="I1376" s="38"/>
      <c r="L1376" s="38"/>
      <c r="O1376" s="38"/>
      <c r="R1376" s="38"/>
      <c r="U1376" s="38"/>
      <c r="X1376" s="38"/>
      <c r="AA1376" s="38"/>
      <c r="AD1376" s="38"/>
      <c r="AG1376" s="38"/>
      <c r="AJ1376" s="38"/>
      <c r="AM1376" s="38"/>
      <c r="AP1376" s="38"/>
    </row>
    <row r="1377" spans="9:42" x14ac:dyDescent="0.2">
      <c r="I1377" s="38"/>
      <c r="L1377" s="38"/>
      <c r="O1377" s="38"/>
      <c r="R1377" s="38"/>
      <c r="U1377" s="38"/>
      <c r="X1377" s="38"/>
      <c r="AA1377" s="38"/>
      <c r="AD1377" s="38"/>
      <c r="AG1377" s="38"/>
      <c r="AJ1377" s="38"/>
      <c r="AM1377" s="38"/>
      <c r="AP1377" s="38"/>
    </row>
    <row r="1378" spans="9:42" x14ac:dyDescent="0.2">
      <c r="I1378" s="38"/>
      <c r="L1378" s="38"/>
      <c r="O1378" s="38"/>
      <c r="R1378" s="38"/>
      <c r="U1378" s="38"/>
      <c r="X1378" s="38"/>
      <c r="AA1378" s="38"/>
      <c r="AD1378" s="38"/>
      <c r="AG1378" s="38"/>
      <c r="AJ1378" s="38"/>
      <c r="AM1378" s="38"/>
      <c r="AP1378" s="38"/>
    </row>
    <row r="1379" spans="9:42" x14ac:dyDescent="0.2">
      <c r="I1379" s="38"/>
      <c r="L1379" s="38"/>
      <c r="O1379" s="38"/>
      <c r="R1379" s="38"/>
      <c r="U1379" s="38"/>
      <c r="X1379" s="38"/>
      <c r="AA1379" s="38"/>
      <c r="AD1379" s="38"/>
      <c r="AG1379" s="38"/>
      <c r="AJ1379" s="38"/>
      <c r="AM1379" s="38"/>
      <c r="AP1379" s="38"/>
    </row>
    <row r="1380" spans="9:42" x14ac:dyDescent="0.2">
      <c r="I1380" s="38"/>
      <c r="L1380" s="38"/>
      <c r="O1380" s="38"/>
      <c r="R1380" s="38"/>
      <c r="U1380" s="38"/>
      <c r="X1380" s="38"/>
      <c r="AA1380" s="38"/>
      <c r="AD1380" s="38"/>
      <c r="AG1380" s="38"/>
      <c r="AJ1380" s="38"/>
      <c r="AM1380" s="38"/>
      <c r="AP1380" s="38"/>
    </row>
    <row r="1381" spans="9:42" x14ac:dyDescent="0.2">
      <c r="I1381" s="38"/>
      <c r="L1381" s="38"/>
      <c r="O1381" s="38"/>
      <c r="R1381" s="38"/>
      <c r="U1381" s="38"/>
      <c r="X1381" s="38"/>
      <c r="AA1381" s="38"/>
      <c r="AD1381" s="38"/>
      <c r="AG1381" s="38"/>
      <c r="AJ1381" s="38"/>
      <c r="AM1381" s="38"/>
      <c r="AP1381" s="38"/>
    </row>
    <row r="1382" spans="9:42" x14ac:dyDescent="0.2">
      <c r="I1382" s="38"/>
      <c r="L1382" s="38"/>
      <c r="O1382" s="38"/>
      <c r="R1382" s="38"/>
      <c r="U1382" s="38"/>
      <c r="X1382" s="38"/>
      <c r="AA1382" s="38"/>
      <c r="AD1382" s="38"/>
      <c r="AG1382" s="38"/>
      <c r="AJ1382" s="38"/>
      <c r="AM1382" s="38"/>
      <c r="AP1382" s="38"/>
    </row>
    <row r="1383" spans="9:42" x14ac:dyDescent="0.2">
      <c r="I1383" s="38"/>
      <c r="L1383" s="38"/>
      <c r="O1383" s="38"/>
      <c r="R1383" s="38"/>
      <c r="U1383" s="38"/>
      <c r="X1383" s="38"/>
      <c r="AA1383" s="38"/>
      <c r="AD1383" s="38"/>
      <c r="AG1383" s="38"/>
      <c r="AJ1383" s="38"/>
      <c r="AM1383" s="38"/>
      <c r="AP1383" s="38"/>
    </row>
    <row r="1384" spans="9:42" x14ac:dyDescent="0.2">
      <c r="I1384" s="38"/>
      <c r="L1384" s="38"/>
      <c r="O1384" s="38"/>
      <c r="R1384" s="38"/>
      <c r="U1384" s="38"/>
      <c r="X1384" s="38"/>
      <c r="AA1384" s="38"/>
      <c r="AD1384" s="38"/>
      <c r="AG1384" s="38"/>
      <c r="AJ1384" s="38"/>
      <c r="AM1384" s="38"/>
      <c r="AP1384" s="38"/>
    </row>
    <row r="1385" spans="9:42" x14ac:dyDescent="0.2">
      <c r="I1385" s="38"/>
      <c r="L1385" s="38"/>
      <c r="O1385" s="38"/>
      <c r="R1385" s="38"/>
      <c r="U1385" s="38"/>
      <c r="X1385" s="38"/>
      <c r="AA1385" s="38"/>
      <c r="AD1385" s="38"/>
      <c r="AG1385" s="38"/>
      <c r="AJ1385" s="38"/>
      <c r="AM1385" s="38"/>
      <c r="AP1385" s="38"/>
    </row>
    <row r="1386" spans="9:42" x14ac:dyDescent="0.2">
      <c r="I1386" s="38"/>
      <c r="L1386" s="38"/>
      <c r="O1386" s="38"/>
      <c r="R1386" s="38"/>
      <c r="U1386" s="38"/>
      <c r="X1386" s="38"/>
      <c r="AA1386" s="38"/>
      <c r="AD1386" s="38"/>
      <c r="AG1386" s="38"/>
      <c r="AJ1386" s="38"/>
      <c r="AM1386" s="38"/>
      <c r="AP1386" s="38"/>
    </row>
    <row r="1387" spans="9:42" x14ac:dyDescent="0.2">
      <c r="I1387" s="38"/>
      <c r="L1387" s="38"/>
      <c r="O1387" s="38"/>
      <c r="R1387" s="38"/>
      <c r="U1387" s="38"/>
      <c r="X1387" s="38"/>
      <c r="AA1387" s="38"/>
      <c r="AD1387" s="38"/>
      <c r="AG1387" s="38"/>
      <c r="AJ1387" s="38"/>
      <c r="AM1387" s="38"/>
      <c r="AP1387" s="38"/>
    </row>
    <row r="1388" spans="9:42" x14ac:dyDescent="0.2">
      <c r="I1388" s="38"/>
      <c r="L1388" s="38"/>
      <c r="O1388" s="38"/>
      <c r="R1388" s="38"/>
      <c r="U1388" s="38"/>
      <c r="X1388" s="38"/>
      <c r="AA1388" s="38"/>
      <c r="AD1388" s="38"/>
      <c r="AG1388" s="38"/>
      <c r="AJ1388" s="38"/>
      <c r="AM1388" s="38"/>
      <c r="AP1388" s="38"/>
    </row>
    <row r="1389" spans="9:42" x14ac:dyDescent="0.2">
      <c r="I1389" s="38"/>
      <c r="L1389" s="38"/>
      <c r="O1389" s="38"/>
      <c r="R1389" s="38"/>
      <c r="U1389" s="38"/>
      <c r="X1389" s="38"/>
      <c r="AA1389" s="38"/>
      <c r="AD1389" s="38"/>
      <c r="AG1389" s="38"/>
      <c r="AJ1389" s="38"/>
      <c r="AM1389" s="38"/>
      <c r="AP1389" s="38"/>
    </row>
    <row r="1390" spans="9:42" x14ac:dyDescent="0.2">
      <c r="I1390" s="38"/>
      <c r="L1390" s="38"/>
      <c r="O1390" s="38"/>
      <c r="R1390" s="38"/>
      <c r="U1390" s="38"/>
      <c r="X1390" s="38"/>
      <c r="AA1390" s="38"/>
      <c r="AD1390" s="38"/>
      <c r="AG1390" s="38"/>
      <c r="AJ1390" s="38"/>
      <c r="AM1390" s="38"/>
      <c r="AP1390" s="38"/>
    </row>
    <row r="1391" spans="9:42" x14ac:dyDescent="0.2">
      <c r="I1391" s="38"/>
      <c r="L1391" s="38"/>
      <c r="O1391" s="38"/>
      <c r="R1391" s="38"/>
      <c r="U1391" s="38"/>
      <c r="X1391" s="38"/>
      <c r="AA1391" s="38"/>
      <c r="AD1391" s="38"/>
      <c r="AG1391" s="38"/>
      <c r="AJ1391" s="38"/>
      <c r="AM1391" s="38"/>
      <c r="AP1391" s="38"/>
    </row>
    <row r="1392" spans="9:42" x14ac:dyDescent="0.2">
      <c r="I1392" s="38"/>
      <c r="L1392" s="38"/>
      <c r="O1392" s="38"/>
      <c r="R1392" s="38"/>
      <c r="U1392" s="38"/>
      <c r="X1392" s="38"/>
      <c r="AA1392" s="38"/>
      <c r="AD1392" s="38"/>
      <c r="AG1392" s="38"/>
      <c r="AJ1392" s="38"/>
      <c r="AM1392" s="38"/>
      <c r="AP1392" s="38"/>
    </row>
    <row r="1393" spans="9:42" x14ac:dyDescent="0.2">
      <c r="I1393" s="38"/>
      <c r="L1393" s="38"/>
      <c r="O1393" s="38"/>
      <c r="R1393" s="38"/>
      <c r="U1393" s="38"/>
      <c r="X1393" s="38"/>
      <c r="AA1393" s="38"/>
      <c r="AD1393" s="38"/>
      <c r="AG1393" s="38"/>
      <c r="AJ1393" s="38"/>
      <c r="AM1393" s="38"/>
      <c r="AP1393" s="38"/>
    </row>
    <row r="1394" spans="9:42" x14ac:dyDescent="0.2">
      <c r="I1394" s="38"/>
      <c r="L1394" s="38"/>
      <c r="O1394" s="38"/>
      <c r="R1394" s="38"/>
      <c r="U1394" s="38"/>
      <c r="X1394" s="38"/>
      <c r="AA1394" s="38"/>
      <c r="AD1394" s="38"/>
      <c r="AG1394" s="38"/>
      <c r="AJ1394" s="38"/>
      <c r="AM1394" s="38"/>
      <c r="AP1394" s="38"/>
    </row>
    <row r="1395" spans="9:42" x14ac:dyDescent="0.2">
      <c r="I1395" s="38"/>
      <c r="L1395" s="38"/>
      <c r="O1395" s="38"/>
      <c r="R1395" s="38"/>
      <c r="U1395" s="38"/>
      <c r="X1395" s="38"/>
      <c r="AA1395" s="38"/>
      <c r="AD1395" s="38"/>
      <c r="AG1395" s="38"/>
      <c r="AJ1395" s="38"/>
      <c r="AM1395" s="38"/>
      <c r="AP1395" s="38"/>
    </row>
    <row r="1396" spans="9:42" x14ac:dyDescent="0.2">
      <c r="I1396" s="38"/>
      <c r="L1396" s="38"/>
      <c r="O1396" s="38"/>
      <c r="R1396" s="38"/>
      <c r="U1396" s="38"/>
      <c r="X1396" s="38"/>
      <c r="AA1396" s="38"/>
      <c r="AD1396" s="38"/>
      <c r="AG1396" s="38"/>
      <c r="AJ1396" s="38"/>
      <c r="AM1396" s="38"/>
      <c r="AP1396" s="38"/>
    </row>
    <row r="1397" spans="9:42" x14ac:dyDescent="0.2">
      <c r="I1397" s="38"/>
      <c r="L1397" s="38"/>
      <c r="O1397" s="38"/>
      <c r="R1397" s="38"/>
      <c r="U1397" s="38"/>
      <c r="X1397" s="38"/>
      <c r="AA1397" s="38"/>
      <c r="AD1397" s="38"/>
      <c r="AG1397" s="38"/>
      <c r="AJ1397" s="38"/>
      <c r="AM1397" s="38"/>
      <c r="AP1397" s="38"/>
    </row>
    <row r="1398" spans="9:42" x14ac:dyDescent="0.2">
      <c r="I1398" s="38"/>
      <c r="L1398" s="38"/>
      <c r="O1398" s="38"/>
      <c r="R1398" s="38"/>
      <c r="U1398" s="38"/>
      <c r="X1398" s="38"/>
      <c r="AA1398" s="38"/>
      <c r="AD1398" s="38"/>
      <c r="AG1398" s="38"/>
      <c r="AJ1398" s="38"/>
      <c r="AM1398" s="38"/>
      <c r="AP1398" s="38"/>
    </row>
    <row r="1399" spans="9:42" x14ac:dyDescent="0.2">
      <c r="I1399" s="38"/>
      <c r="L1399" s="38"/>
      <c r="O1399" s="38"/>
      <c r="R1399" s="38"/>
      <c r="U1399" s="38"/>
      <c r="X1399" s="38"/>
      <c r="AA1399" s="38"/>
      <c r="AD1399" s="38"/>
      <c r="AG1399" s="38"/>
      <c r="AJ1399" s="38"/>
      <c r="AM1399" s="38"/>
      <c r="AP1399" s="38"/>
    </row>
    <row r="1400" spans="9:42" x14ac:dyDescent="0.2">
      <c r="I1400" s="38"/>
      <c r="L1400" s="38"/>
      <c r="O1400" s="38"/>
      <c r="R1400" s="38"/>
      <c r="U1400" s="38"/>
      <c r="X1400" s="38"/>
      <c r="AA1400" s="38"/>
      <c r="AD1400" s="38"/>
      <c r="AG1400" s="38"/>
      <c r="AJ1400" s="38"/>
      <c r="AM1400" s="38"/>
      <c r="AP1400" s="38"/>
    </row>
    <row r="1401" spans="9:42" x14ac:dyDescent="0.2">
      <c r="I1401" s="38"/>
      <c r="L1401" s="38"/>
      <c r="O1401" s="38"/>
      <c r="R1401" s="38"/>
      <c r="U1401" s="38"/>
      <c r="X1401" s="38"/>
      <c r="AA1401" s="38"/>
      <c r="AD1401" s="38"/>
      <c r="AG1401" s="38"/>
      <c r="AJ1401" s="38"/>
      <c r="AM1401" s="38"/>
      <c r="AP1401" s="38"/>
    </row>
    <row r="1402" spans="9:42" x14ac:dyDescent="0.2">
      <c r="I1402" s="38"/>
      <c r="L1402" s="38"/>
      <c r="O1402" s="38"/>
      <c r="R1402" s="38"/>
      <c r="U1402" s="38"/>
      <c r="X1402" s="38"/>
      <c r="AA1402" s="38"/>
      <c r="AD1402" s="38"/>
      <c r="AG1402" s="38"/>
      <c r="AJ1402" s="38"/>
      <c r="AM1402" s="38"/>
      <c r="AP1402" s="38"/>
    </row>
    <row r="1403" spans="9:42" x14ac:dyDescent="0.2">
      <c r="I1403" s="38"/>
      <c r="L1403" s="38"/>
      <c r="O1403" s="38"/>
      <c r="R1403" s="38"/>
      <c r="U1403" s="38"/>
      <c r="X1403" s="38"/>
      <c r="AA1403" s="38"/>
      <c r="AD1403" s="38"/>
      <c r="AG1403" s="38"/>
      <c r="AJ1403" s="38"/>
      <c r="AM1403" s="38"/>
      <c r="AP1403" s="38"/>
    </row>
    <row r="1404" spans="9:42" x14ac:dyDescent="0.2">
      <c r="I1404" s="38"/>
      <c r="L1404" s="38"/>
      <c r="O1404" s="38"/>
      <c r="R1404" s="38"/>
      <c r="U1404" s="38"/>
      <c r="X1404" s="38"/>
      <c r="AA1404" s="38"/>
      <c r="AD1404" s="38"/>
      <c r="AG1404" s="38"/>
      <c r="AJ1404" s="38"/>
      <c r="AM1404" s="38"/>
      <c r="AP1404" s="38"/>
    </row>
    <row r="1405" spans="9:42" x14ac:dyDescent="0.2">
      <c r="I1405" s="38"/>
      <c r="L1405" s="38"/>
      <c r="O1405" s="38"/>
      <c r="R1405" s="38"/>
      <c r="U1405" s="38"/>
      <c r="X1405" s="38"/>
      <c r="AA1405" s="38"/>
      <c r="AD1405" s="38"/>
      <c r="AG1405" s="38"/>
      <c r="AJ1405" s="38"/>
      <c r="AM1405" s="38"/>
      <c r="AP1405" s="38"/>
    </row>
    <row r="1406" spans="9:42" x14ac:dyDescent="0.2">
      <c r="I1406" s="38"/>
      <c r="L1406" s="38"/>
      <c r="O1406" s="38"/>
      <c r="R1406" s="38"/>
      <c r="U1406" s="38"/>
      <c r="X1406" s="38"/>
      <c r="AA1406" s="38"/>
      <c r="AD1406" s="38"/>
      <c r="AG1406" s="38"/>
      <c r="AJ1406" s="38"/>
      <c r="AM1406" s="38"/>
      <c r="AP1406" s="38"/>
    </row>
    <row r="1407" spans="9:42" x14ac:dyDescent="0.2">
      <c r="I1407" s="38"/>
      <c r="L1407" s="38"/>
      <c r="O1407" s="38"/>
      <c r="R1407" s="38"/>
      <c r="U1407" s="38"/>
      <c r="X1407" s="38"/>
      <c r="AA1407" s="38"/>
      <c r="AD1407" s="38"/>
      <c r="AG1407" s="38"/>
      <c r="AJ1407" s="38"/>
      <c r="AM1407" s="38"/>
      <c r="AP1407" s="38"/>
    </row>
    <row r="1408" spans="9:42" x14ac:dyDescent="0.2">
      <c r="I1408" s="38"/>
      <c r="L1408" s="38"/>
      <c r="O1408" s="38"/>
      <c r="R1408" s="38"/>
      <c r="U1408" s="38"/>
      <c r="X1408" s="38"/>
      <c r="AA1408" s="38"/>
      <c r="AD1408" s="38"/>
      <c r="AG1408" s="38"/>
      <c r="AJ1408" s="38"/>
      <c r="AM1408" s="38"/>
      <c r="AP1408" s="38"/>
    </row>
    <row r="1409" spans="9:42" x14ac:dyDescent="0.2">
      <c r="I1409" s="38"/>
      <c r="L1409" s="38"/>
      <c r="O1409" s="38"/>
      <c r="R1409" s="38"/>
      <c r="U1409" s="38"/>
      <c r="X1409" s="38"/>
      <c r="AA1409" s="38"/>
      <c r="AD1409" s="38"/>
      <c r="AG1409" s="38"/>
      <c r="AJ1409" s="38"/>
      <c r="AM1409" s="38"/>
      <c r="AP1409" s="38"/>
    </row>
    <row r="1410" spans="9:42" x14ac:dyDescent="0.2">
      <c r="I1410" s="38"/>
      <c r="L1410" s="38"/>
      <c r="O1410" s="38"/>
      <c r="R1410" s="38"/>
      <c r="U1410" s="38"/>
      <c r="X1410" s="38"/>
      <c r="AA1410" s="38"/>
      <c r="AD1410" s="38"/>
      <c r="AG1410" s="38"/>
      <c r="AJ1410" s="38"/>
      <c r="AM1410" s="38"/>
      <c r="AP1410" s="38"/>
    </row>
    <row r="1411" spans="9:42" x14ac:dyDescent="0.2">
      <c r="I1411" s="38"/>
      <c r="L1411" s="38"/>
      <c r="O1411" s="38"/>
      <c r="R1411" s="38"/>
      <c r="U1411" s="38"/>
      <c r="X1411" s="38"/>
      <c r="AA1411" s="38"/>
      <c r="AD1411" s="38"/>
      <c r="AG1411" s="38"/>
      <c r="AJ1411" s="38"/>
      <c r="AM1411" s="38"/>
      <c r="AP1411" s="38"/>
    </row>
    <row r="1412" spans="9:42" x14ac:dyDescent="0.2">
      <c r="I1412" s="38"/>
      <c r="L1412" s="38"/>
      <c r="O1412" s="38"/>
      <c r="R1412" s="38"/>
      <c r="U1412" s="38"/>
      <c r="X1412" s="38"/>
      <c r="AA1412" s="38"/>
      <c r="AD1412" s="38"/>
      <c r="AG1412" s="38"/>
      <c r="AJ1412" s="38"/>
      <c r="AM1412" s="38"/>
      <c r="AP1412" s="38"/>
    </row>
    <row r="1413" spans="9:42" x14ac:dyDescent="0.2">
      <c r="I1413" s="38"/>
      <c r="L1413" s="38"/>
      <c r="O1413" s="38"/>
      <c r="R1413" s="38"/>
      <c r="U1413" s="38"/>
      <c r="X1413" s="38"/>
      <c r="AA1413" s="38"/>
      <c r="AD1413" s="38"/>
      <c r="AG1413" s="38"/>
      <c r="AJ1413" s="38"/>
      <c r="AM1413" s="38"/>
      <c r="AP1413" s="38"/>
    </row>
    <row r="1414" spans="9:42" x14ac:dyDescent="0.2">
      <c r="I1414" s="38"/>
      <c r="L1414" s="38"/>
      <c r="O1414" s="38"/>
      <c r="R1414" s="38"/>
      <c r="U1414" s="38"/>
      <c r="X1414" s="38"/>
      <c r="AA1414" s="38"/>
      <c r="AD1414" s="38"/>
      <c r="AG1414" s="38"/>
      <c r="AJ1414" s="38"/>
      <c r="AM1414" s="38"/>
      <c r="AP1414" s="38"/>
    </row>
    <row r="1415" spans="9:42" x14ac:dyDescent="0.2">
      <c r="I1415" s="38"/>
      <c r="L1415" s="38"/>
      <c r="O1415" s="38"/>
      <c r="R1415" s="38"/>
      <c r="U1415" s="38"/>
      <c r="X1415" s="38"/>
      <c r="AA1415" s="38"/>
      <c r="AD1415" s="38"/>
      <c r="AG1415" s="38"/>
      <c r="AJ1415" s="38"/>
      <c r="AM1415" s="38"/>
      <c r="AP1415" s="38"/>
    </row>
    <row r="1416" spans="9:42" x14ac:dyDescent="0.2">
      <c r="I1416" s="38"/>
      <c r="L1416" s="38"/>
      <c r="O1416" s="38"/>
      <c r="R1416" s="38"/>
      <c r="U1416" s="38"/>
      <c r="X1416" s="38"/>
      <c r="AA1416" s="38"/>
      <c r="AD1416" s="38"/>
      <c r="AG1416" s="38"/>
      <c r="AJ1416" s="38"/>
      <c r="AM1416" s="38"/>
      <c r="AP1416" s="38"/>
    </row>
    <row r="1417" spans="9:42" x14ac:dyDescent="0.2">
      <c r="I1417" s="38"/>
      <c r="L1417" s="38"/>
      <c r="O1417" s="38"/>
      <c r="R1417" s="38"/>
      <c r="U1417" s="38"/>
      <c r="X1417" s="38"/>
      <c r="AA1417" s="38"/>
      <c r="AD1417" s="38"/>
      <c r="AG1417" s="38"/>
      <c r="AJ1417" s="38"/>
      <c r="AM1417" s="38"/>
      <c r="AP1417" s="38"/>
    </row>
    <row r="1418" spans="9:42" x14ac:dyDescent="0.2">
      <c r="I1418" s="38"/>
      <c r="L1418" s="38"/>
      <c r="O1418" s="38"/>
      <c r="R1418" s="38"/>
      <c r="U1418" s="38"/>
      <c r="X1418" s="38"/>
      <c r="AA1418" s="38"/>
      <c r="AD1418" s="38"/>
      <c r="AG1418" s="38"/>
      <c r="AJ1418" s="38"/>
      <c r="AM1418" s="38"/>
      <c r="AP1418" s="38"/>
    </row>
    <row r="1419" spans="9:42" x14ac:dyDescent="0.2">
      <c r="I1419" s="38"/>
      <c r="L1419" s="38"/>
      <c r="O1419" s="38"/>
      <c r="R1419" s="38"/>
      <c r="U1419" s="38"/>
      <c r="X1419" s="38"/>
      <c r="AA1419" s="38"/>
      <c r="AD1419" s="38"/>
      <c r="AG1419" s="38"/>
      <c r="AJ1419" s="38"/>
      <c r="AM1419" s="38"/>
      <c r="AP1419" s="38"/>
    </row>
    <row r="1420" spans="9:42" x14ac:dyDescent="0.2">
      <c r="I1420" s="38"/>
      <c r="L1420" s="38"/>
      <c r="O1420" s="38"/>
      <c r="R1420" s="38"/>
      <c r="U1420" s="38"/>
      <c r="X1420" s="38"/>
      <c r="AA1420" s="38"/>
      <c r="AD1420" s="38"/>
      <c r="AG1420" s="38"/>
      <c r="AJ1420" s="38"/>
      <c r="AM1420" s="38"/>
      <c r="AP1420" s="38"/>
    </row>
    <row r="1421" spans="9:42" x14ac:dyDescent="0.2">
      <c r="I1421" s="38"/>
      <c r="L1421" s="38"/>
      <c r="O1421" s="38"/>
      <c r="R1421" s="38"/>
      <c r="U1421" s="38"/>
      <c r="X1421" s="38"/>
      <c r="AA1421" s="38"/>
      <c r="AD1421" s="38"/>
      <c r="AG1421" s="38"/>
      <c r="AJ1421" s="38"/>
      <c r="AM1421" s="38"/>
      <c r="AP1421" s="38"/>
    </row>
    <row r="1422" spans="9:42" x14ac:dyDescent="0.2">
      <c r="I1422" s="38"/>
      <c r="L1422" s="38"/>
      <c r="O1422" s="38"/>
      <c r="R1422" s="38"/>
      <c r="U1422" s="38"/>
      <c r="X1422" s="38"/>
      <c r="AA1422" s="38"/>
      <c r="AD1422" s="38"/>
      <c r="AG1422" s="38"/>
      <c r="AJ1422" s="38"/>
      <c r="AM1422" s="38"/>
      <c r="AP1422" s="38"/>
    </row>
    <row r="1423" spans="9:42" x14ac:dyDescent="0.2">
      <c r="I1423" s="38"/>
      <c r="L1423" s="38"/>
      <c r="O1423" s="38"/>
      <c r="R1423" s="38"/>
      <c r="U1423" s="38"/>
      <c r="X1423" s="38"/>
      <c r="AA1423" s="38"/>
      <c r="AD1423" s="38"/>
      <c r="AG1423" s="38"/>
      <c r="AJ1423" s="38"/>
      <c r="AM1423" s="38"/>
      <c r="AP1423" s="38"/>
    </row>
    <row r="1424" spans="9:42" x14ac:dyDescent="0.2">
      <c r="I1424" s="38"/>
      <c r="L1424" s="38"/>
      <c r="O1424" s="38"/>
      <c r="R1424" s="38"/>
      <c r="U1424" s="38"/>
      <c r="X1424" s="38"/>
      <c r="AA1424" s="38"/>
      <c r="AD1424" s="38"/>
      <c r="AG1424" s="38"/>
      <c r="AJ1424" s="38"/>
      <c r="AM1424" s="38"/>
      <c r="AP1424" s="38"/>
    </row>
    <row r="1425" spans="9:42" x14ac:dyDescent="0.2">
      <c r="I1425" s="38"/>
      <c r="L1425" s="38"/>
      <c r="O1425" s="38"/>
      <c r="R1425" s="38"/>
      <c r="U1425" s="38"/>
      <c r="X1425" s="38"/>
      <c r="AA1425" s="38"/>
      <c r="AD1425" s="38"/>
      <c r="AG1425" s="38"/>
      <c r="AJ1425" s="38"/>
      <c r="AM1425" s="38"/>
      <c r="AP1425" s="38"/>
    </row>
    <row r="1426" spans="9:42" x14ac:dyDescent="0.2">
      <c r="I1426" s="38"/>
      <c r="L1426" s="38"/>
      <c r="O1426" s="38"/>
      <c r="R1426" s="38"/>
      <c r="U1426" s="38"/>
      <c r="X1426" s="38"/>
      <c r="AA1426" s="38"/>
      <c r="AD1426" s="38"/>
      <c r="AG1426" s="38"/>
      <c r="AJ1426" s="38"/>
      <c r="AM1426" s="38"/>
      <c r="AP1426" s="38"/>
    </row>
    <row r="1427" spans="9:42" x14ac:dyDescent="0.2">
      <c r="I1427" s="38"/>
      <c r="L1427" s="38"/>
      <c r="O1427" s="38"/>
      <c r="R1427" s="38"/>
      <c r="U1427" s="38"/>
      <c r="X1427" s="38"/>
      <c r="AA1427" s="38"/>
      <c r="AD1427" s="38"/>
      <c r="AG1427" s="38"/>
      <c r="AJ1427" s="38"/>
      <c r="AM1427" s="38"/>
      <c r="AP1427" s="38"/>
    </row>
    <row r="1428" spans="9:42" x14ac:dyDescent="0.2">
      <c r="I1428" s="38"/>
      <c r="L1428" s="38"/>
      <c r="O1428" s="38"/>
      <c r="R1428" s="38"/>
      <c r="U1428" s="38"/>
      <c r="X1428" s="38"/>
      <c r="AA1428" s="38"/>
      <c r="AD1428" s="38"/>
      <c r="AG1428" s="38"/>
      <c r="AJ1428" s="38"/>
      <c r="AM1428" s="38"/>
      <c r="AP1428" s="38"/>
    </row>
    <row r="1429" spans="9:42" x14ac:dyDescent="0.2">
      <c r="I1429" s="38"/>
      <c r="L1429" s="38"/>
      <c r="O1429" s="38"/>
      <c r="R1429" s="38"/>
      <c r="U1429" s="38"/>
      <c r="X1429" s="38"/>
      <c r="AA1429" s="38"/>
      <c r="AD1429" s="38"/>
      <c r="AG1429" s="38"/>
      <c r="AJ1429" s="38"/>
      <c r="AM1429" s="38"/>
      <c r="AP1429" s="38"/>
    </row>
    <row r="1430" spans="9:42" x14ac:dyDescent="0.2">
      <c r="I1430" s="38"/>
      <c r="L1430" s="38"/>
      <c r="O1430" s="38"/>
      <c r="R1430" s="38"/>
      <c r="U1430" s="38"/>
      <c r="X1430" s="38"/>
      <c r="AA1430" s="38"/>
      <c r="AD1430" s="38"/>
      <c r="AG1430" s="38"/>
      <c r="AJ1430" s="38"/>
      <c r="AM1430" s="38"/>
      <c r="AP1430" s="38"/>
    </row>
    <row r="1431" spans="9:42" x14ac:dyDescent="0.2">
      <c r="I1431" s="38"/>
      <c r="L1431" s="38"/>
      <c r="O1431" s="38"/>
      <c r="R1431" s="38"/>
      <c r="U1431" s="38"/>
      <c r="X1431" s="38"/>
      <c r="AA1431" s="38"/>
      <c r="AD1431" s="38"/>
      <c r="AG1431" s="38"/>
      <c r="AJ1431" s="38"/>
      <c r="AM1431" s="38"/>
      <c r="AP1431" s="38"/>
    </row>
    <row r="1432" spans="9:42" x14ac:dyDescent="0.2">
      <c r="I1432" s="38"/>
      <c r="L1432" s="38"/>
      <c r="O1432" s="38"/>
      <c r="R1432" s="38"/>
      <c r="U1432" s="38"/>
      <c r="X1432" s="38"/>
      <c r="AA1432" s="38"/>
      <c r="AD1432" s="38"/>
      <c r="AG1432" s="38"/>
      <c r="AJ1432" s="38"/>
      <c r="AM1432" s="38"/>
      <c r="AP1432" s="38"/>
    </row>
    <row r="1433" spans="9:42" x14ac:dyDescent="0.2">
      <c r="I1433" s="38"/>
      <c r="L1433" s="38"/>
      <c r="O1433" s="38"/>
      <c r="R1433" s="38"/>
      <c r="U1433" s="38"/>
      <c r="X1433" s="38"/>
      <c r="AA1433" s="38"/>
      <c r="AD1433" s="38"/>
      <c r="AG1433" s="38"/>
      <c r="AJ1433" s="38"/>
      <c r="AM1433" s="38"/>
      <c r="AP1433" s="38"/>
    </row>
    <row r="1434" spans="9:42" x14ac:dyDescent="0.2">
      <c r="I1434" s="38"/>
      <c r="L1434" s="38"/>
      <c r="O1434" s="38"/>
      <c r="R1434" s="38"/>
      <c r="U1434" s="38"/>
      <c r="X1434" s="38"/>
      <c r="AA1434" s="38"/>
      <c r="AD1434" s="38"/>
      <c r="AG1434" s="38"/>
      <c r="AJ1434" s="38"/>
      <c r="AM1434" s="38"/>
      <c r="AP1434" s="38"/>
    </row>
    <row r="1435" spans="9:42" x14ac:dyDescent="0.2">
      <c r="I1435" s="38"/>
      <c r="L1435" s="38"/>
      <c r="O1435" s="38"/>
      <c r="R1435" s="38"/>
      <c r="U1435" s="38"/>
      <c r="X1435" s="38"/>
      <c r="AA1435" s="38"/>
      <c r="AD1435" s="38"/>
      <c r="AG1435" s="38"/>
      <c r="AJ1435" s="38"/>
      <c r="AM1435" s="38"/>
      <c r="AP1435" s="38"/>
    </row>
    <row r="1436" spans="9:42" x14ac:dyDescent="0.2">
      <c r="I1436" s="38"/>
      <c r="L1436" s="38"/>
      <c r="O1436" s="38"/>
      <c r="R1436" s="38"/>
      <c r="U1436" s="38"/>
      <c r="X1436" s="38"/>
      <c r="AA1436" s="38"/>
      <c r="AD1436" s="38"/>
      <c r="AG1436" s="38"/>
      <c r="AJ1436" s="38"/>
      <c r="AM1436" s="38"/>
      <c r="AP1436" s="38"/>
    </row>
    <row r="1437" spans="9:42" x14ac:dyDescent="0.2">
      <c r="I1437" s="38"/>
      <c r="L1437" s="38"/>
      <c r="O1437" s="38"/>
      <c r="R1437" s="38"/>
      <c r="U1437" s="38"/>
      <c r="X1437" s="38"/>
      <c r="AA1437" s="38"/>
      <c r="AD1437" s="38"/>
      <c r="AG1437" s="38"/>
      <c r="AJ1437" s="38"/>
      <c r="AM1437" s="38"/>
      <c r="AP1437" s="38"/>
    </row>
    <row r="1438" spans="9:42" x14ac:dyDescent="0.2">
      <c r="I1438" s="38"/>
      <c r="L1438" s="38"/>
      <c r="O1438" s="38"/>
      <c r="R1438" s="38"/>
      <c r="U1438" s="38"/>
      <c r="X1438" s="38"/>
      <c r="AA1438" s="38"/>
      <c r="AD1438" s="38"/>
      <c r="AG1438" s="38"/>
      <c r="AJ1438" s="38"/>
      <c r="AM1438" s="38"/>
      <c r="AP1438" s="38"/>
    </row>
    <row r="1439" spans="9:42" x14ac:dyDescent="0.2">
      <c r="I1439" s="38"/>
      <c r="L1439" s="38"/>
      <c r="O1439" s="38"/>
      <c r="R1439" s="38"/>
      <c r="U1439" s="38"/>
      <c r="X1439" s="38"/>
      <c r="AA1439" s="38"/>
      <c r="AD1439" s="38"/>
      <c r="AG1439" s="38"/>
      <c r="AJ1439" s="38"/>
      <c r="AM1439" s="38"/>
      <c r="AP1439" s="38"/>
    </row>
    <row r="1440" spans="9:42" x14ac:dyDescent="0.2">
      <c r="I1440" s="38"/>
      <c r="L1440" s="38"/>
      <c r="O1440" s="38"/>
      <c r="R1440" s="38"/>
      <c r="U1440" s="38"/>
      <c r="X1440" s="38"/>
      <c r="AA1440" s="38"/>
      <c r="AD1440" s="38"/>
      <c r="AG1440" s="38"/>
      <c r="AJ1440" s="38"/>
      <c r="AM1440" s="38"/>
      <c r="AP1440" s="38"/>
    </row>
    <row r="1441" spans="9:42" x14ac:dyDescent="0.2">
      <c r="I1441" s="38"/>
      <c r="L1441" s="38"/>
      <c r="O1441" s="38"/>
      <c r="R1441" s="38"/>
      <c r="U1441" s="38"/>
      <c r="X1441" s="38"/>
      <c r="AA1441" s="38"/>
      <c r="AD1441" s="38"/>
      <c r="AG1441" s="38"/>
      <c r="AJ1441" s="38"/>
      <c r="AM1441" s="38"/>
      <c r="AP1441" s="38"/>
    </row>
    <row r="1442" spans="9:42" x14ac:dyDescent="0.2">
      <c r="I1442" s="38"/>
      <c r="L1442" s="38"/>
      <c r="O1442" s="38"/>
      <c r="R1442" s="38"/>
      <c r="U1442" s="38"/>
      <c r="X1442" s="38"/>
      <c r="AA1442" s="38"/>
      <c r="AD1442" s="38"/>
      <c r="AG1442" s="38"/>
      <c r="AJ1442" s="38"/>
      <c r="AM1442" s="38"/>
      <c r="AP1442" s="38"/>
    </row>
    <row r="1443" spans="9:42" x14ac:dyDescent="0.2">
      <c r="I1443" s="38"/>
      <c r="L1443" s="38"/>
      <c r="O1443" s="38"/>
      <c r="R1443" s="38"/>
      <c r="U1443" s="38"/>
      <c r="X1443" s="38"/>
      <c r="AA1443" s="38"/>
      <c r="AD1443" s="38"/>
      <c r="AG1443" s="38"/>
      <c r="AJ1443" s="38"/>
      <c r="AM1443" s="38"/>
      <c r="AP1443" s="38"/>
    </row>
    <row r="1444" spans="9:42" x14ac:dyDescent="0.2">
      <c r="I1444" s="38"/>
      <c r="L1444" s="38"/>
      <c r="O1444" s="38"/>
      <c r="R1444" s="38"/>
      <c r="U1444" s="38"/>
      <c r="X1444" s="38"/>
      <c r="AA1444" s="38"/>
      <c r="AD1444" s="38"/>
      <c r="AG1444" s="38"/>
      <c r="AJ1444" s="38"/>
      <c r="AM1444" s="38"/>
      <c r="AP1444" s="38"/>
    </row>
    <row r="1445" spans="9:42" x14ac:dyDescent="0.2">
      <c r="I1445" s="38"/>
      <c r="L1445" s="38"/>
      <c r="O1445" s="38"/>
      <c r="R1445" s="38"/>
      <c r="U1445" s="38"/>
      <c r="X1445" s="38"/>
      <c r="AA1445" s="38"/>
      <c r="AD1445" s="38"/>
      <c r="AG1445" s="38"/>
      <c r="AJ1445" s="38"/>
      <c r="AM1445" s="38"/>
      <c r="AP1445" s="38"/>
    </row>
    <row r="1446" spans="9:42" x14ac:dyDescent="0.2">
      <c r="I1446" s="38"/>
      <c r="L1446" s="38"/>
      <c r="O1446" s="38"/>
      <c r="R1446" s="38"/>
      <c r="U1446" s="38"/>
      <c r="X1446" s="38"/>
      <c r="AA1446" s="38"/>
      <c r="AD1446" s="38"/>
      <c r="AG1446" s="38"/>
      <c r="AJ1446" s="38"/>
      <c r="AM1446" s="38"/>
      <c r="AP1446" s="38"/>
    </row>
    <row r="1447" spans="9:42" x14ac:dyDescent="0.2">
      <c r="I1447" s="38"/>
      <c r="L1447" s="38"/>
      <c r="O1447" s="38"/>
      <c r="R1447" s="38"/>
      <c r="U1447" s="38"/>
      <c r="X1447" s="38"/>
      <c r="AA1447" s="38"/>
      <c r="AD1447" s="38"/>
      <c r="AG1447" s="38"/>
      <c r="AJ1447" s="38"/>
      <c r="AM1447" s="38"/>
      <c r="AP1447" s="38"/>
    </row>
    <row r="1448" spans="9:42" x14ac:dyDescent="0.2">
      <c r="I1448" s="38"/>
      <c r="L1448" s="38"/>
      <c r="O1448" s="38"/>
      <c r="R1448" s="38"/>
      <c r="U1448" s="38"/>
      <c r="X1448" s="38"/>
      <c r="AA1448" s="38"/>
      <c r="AD1448" s="38"/>
      <c r="AG1448" s="38"/>
      <c r="AJ1448" s="38"/>
      <c r="AM1448" s="38"/>
      <c r="AP1448" s="38"/>
    </row>
    <row r="1449" spans="9:42" x14ac:dyDescent="0.2">
      <c r="I1449" s="38"/>
      <c r="L1449" s="38"/>
      <c r="O1449" s="38"/>
      <c r="R1449" s="38"/>
      <c r="U1449" s="38"/>
      <c r="X1449" s="38"/>
      <c r="AA1449" s="38"/>
      <c r="AD1449" s="38"/>
      <c r="AG1449" s="38"/>
      <c r="AJ1449" s="38"/>
      <c r="AM1449" s="38"/>
      <c r="AP1449" s="38"/>
    </row>
    <row r="1450" spans="9:42" x14ac:dyDescent="0.2">
      <c r="I1450" s="38"/>
      <c r="L1450" s="38"/>
      <c r="O1450" s="38"/>
      <c r="R1450" s="38"/>
      <c r="U1450" s="38"/>
      <c r="X1450" s="38"/>
      <c r="AA1450" s="38"/>
      <c r="AD1450" s="38"/>
      <c r="AG1450" s="38"/>
      <c r="AJ1450" s="38"/>
      <c r="AM1450" s="38"/>
      <c r="AP1450" s="38"/>
    </row>
    <row r="1451" spans="9:42" x14ac:dyDescent="0.2">
      <c r="I1451" s="38"/>
      <c r="L1451" s="38"/>
      <c r="O1451" s="38"/>
      <c r="R1451" s="38"/>
      <c r="U1451" s="38"/>
      <c r="X1451" s="38"/>
      <c r="AA1451" s="38"/>
      <c r="AD1451" s="38"/>
      <c r="AG1451" s="38"/>
      <c r="AJ1451" s="38"/>
      <c r="AM1451" s="38"/>
      <c r="AP1451" s="38"/>
    </row>
    <row r="1452" spans="9:42" x14ac:dyDescent="0.2">
      <c r="I1452" s="38"/>
      <c r="L1452" s="38"/>
      <c r="O1452" s="38"/>
      <c r="R1452" s="38"/>
      <c r="U1452" s="38"/>
      <c r="X1452" s="38"/>
      <c r="AA1452" s="38"/>
      <c r="AD1452" s="38"/>
      <c r="AG1452" s="38"/>
      <c r="AJ1452" s="38"/>
      <c r="AM1452" s="38"/>
      <c r="AP1452" s="38"/>
    </row>
    <row r="1453" spans="9:42" x14ac:dyDescent="0.2">
      <c r="I1453" s="38"/>
      <c r="L1453" s="38"/>
      <c r="O1453" s="38"/>
      <c r="R1453" s="38"/>
      <c r="U1453" s="38"/>
      <c r="X1453" s="38"/>
      <c r="AA1453" s="38"/>
      <c r="AD1453" s="38"/>
      <c r="AG1453" s="38"/>
      <c r="AJ1453" s="38"/>
      <c r="AM1453" s="38"/>
      <c r="AP1453" s="38"/>
    </row>
    <row r="1454" spans="9:42" x14ac:dyDescent="0.2">
      <c r="I1454" s="38"/>
      <c r="L1454" s="38"/>
      <c r="O1454" s="38"/>
      <c r="R1454" s="38"/>
      <c r="U1454" s="38"/>
      <c r="X1454" s="38"/>
      <c r="AA1454" s="38"/>
      <c r="AD1454" s="38"/>
      <c r="AG1454" s="38"/>
      <c r="AJ1454" s="38"/>
      <c r="AM1454" s="38"/>
      <c r="AP1454" s="38"/>
    </row>
    <row r="1455" spans="9:42" x14ac:dyDescent="0.2">
      <c r="I1455" s="38"/>
      <c r="L1455" s="38"/>
      <c r="O1455" s="38"/>
      <c r="R1455" s="38"/>
      <c r="U1455" s="38"/>
      <c r="X1455" s="38"/>
      <c r="AA1455" s="38"/>
      <c r="AD1455" s="38"/>
      <c r="AG1455" s="38"/>
      <c r="AJ1455" s="38"/>
      <c r="AM1455" s="38"/>
      <c r="AP1455" s="38"/>
    </row>
    <row r="1456" spans="9:42" x14ac:dyDescent="0.2">
      <c r="I1456" s="38"/>
      <c r="L1456" s="38"/>
      <c r="O1456" s="38"/>
      <c r="R1456" s="38"/>
      <c r="U1456" s="38"/>
      <c r="X1456" s="38"/>
      <c r="AA1456" s="38"/>
      <c r="AD1456" s="38"/>
      <c r="AG1456" s="38"/>
      <c r="AJ1456" s="38"/>
      <c r="AM1456" s="38"/>
      <c r="AP1456" s="38"/>
    </row>
    <row r="1457" spans="9:42" x14ac:dyDescent="0.2">
      <c r="I1457" s="38"/>
      <c r="L1457" s="38"/>
      <c r="O1457" s="38"/>
      <c r="R1457" s="38"/>
      <c r="U1457" s="38"/>
      <c r="X1457" s="38"/>
      <c r="AA1457" s="38"/>
      <c r="AD1457" s="38"/>
      <c r="AG1457" s="38"/>
      <c r="AJ1457" s="38"/>
      <c r="AM1457" s="38"/>
      <c r="AP1457" s="38"/>
    </row>
    <row r="1458" spans="9:42" x14ac:dyDescent="0.2">
      <c r="I1458" s="38"/>
      <c r="L1458" s="38"/>
      <c r="O1458" s="38"/>
      <c r="R1458" s="38"/>
      <c r="U1458" s="38"/>
      <c r="X1458" s="38"/>
      <c r="AA1458" s="38"/>
      <c r="AD1458" s="38"/>
      <c r="AG1458" s="38"/>
      <c r="AJ1458" s="38"/>
      <c r="AM1458" s="38"/>
      <c r="AP1458" s="38"/>
    </row>
    <row r="1459" spans="9:42" x14ac:dyDescent="0.2">
      <c r="I1459" s="38"/>
      <c r="L1459" s="38"/>
      <c r="O1459" s="38"/>
      <c r="R1459" s="38"/>
      <c r="U1459" s="38"/>
      <c r="X1459" s="38"/>
      <c r="AA1459" s="38"/>
      <c r="AD1459" s="38"/>
      <c r="AG1459" s="38"/>
      <c r="AJ1459" s="38"/>
      <c r="AM1459" s="38"/>
      <c r="AP1459" s="38"/>
    </row>
    <row r="1460" spans="9:42" x14ac:dyDescent="0.2">
      <c r="I1460" s="38"/>
      <c r="L1460" s="38"/>
      <c r="O1460" s="38"/>
      <c r="R1460" s="38"/>
      <c r="U1460" s="38"/>
      <c r="X1460" s="38"/>
      <c r="AA1460" s="38"/>
      <c r="AD1460" s="38"/>
      <c r="AG1460" s="38"/>
      <c r="AJ1460" s="38"/>
      <c r="AM1460" s="38"/>
      <c r="AP1460" s="38"/>
    </row>
    <row r="1461" spans="9:42" x14ac:dyDescent="0.2">
      <c r="I1461" s="38"/>
      <c r="L1461" s="38"/>
      <c r="O1461" s="38"/>
      <c r="R1461" s="38"/>
      <c r="U1461" s="38"/>
      <c r="X1461" s="38"/>
      <c r="AA1461" s="38"/>
      <c r="AD1461" s="38"/>
      <c r="AG1461" s="38"/>
      <c r="AJ1461" s="38"/>
      <c r="AM1461" s="38"/>
      <c r="AP1461" s="38"/>
    </row>
    <row r="1462" spans="9:42" x14ac:dyDescent="0.2">
      <c r="I1462" s="38"/>
      <c r="L1462" s="38"/>
      <c r="O1462" s="38"/>
      <c r="R1462" s="38"/>
      <c r="U1462" s="38"/>
      <c r="X1462" s="38"/>
      <c r="AA1462" s="38"/>
      <c r="AD1462" s="38"/>
      <c r="AG1462" s="38"/>
      <c r="AJ1462" s="38"/>
      <c r="AM1462" s="38"/>
      <c r="AP1462" s="38"/>
    </row>
    <row r="1463" spans="9:42" x14ac:dyDescent="0.2">
      <c r="I1463" s="38"/>
      <c r="L1463" s="38"/>
      <c r="O1463" s="38"/>
      <c r="R1463" s="38"/>
      <c r="U1463" s="38"/>
      <c r="X1463" s="38"/>
      <c r="AA1463" s="38"/>
      <c r="AD1463" s="38"/>
      <c r="AG1463" s="38"/>
      <c r="AJ1463" s="38"/>
      <c r="AM1463" s="38"/>
      <c r="AP1463" s="38"/>
    </row>
    <row r="1464" spans="9:42" x14ac:dyDescent="0.2">
      <c r="I1464" s="38"/>
      <c r="L1464" s="38"/>
      <c r="O1464" s="38"/>
      <c r="R1464" s="38"/>
      <c r="U1464" s="38"/>
      <c r="X1464" s="38"/>
      <c r="AA1464" s="38"/>
      <c r="AD1464" s="38"/>
      <c r="AG1464" s="38"/>
      <c r="AJ1464" s="38"/>
      <c r="AM1464" s="38"/>
      <c r="AP1464" s="38"/>
    </row>
    <row r="1465" spans="9:42" x14ac:dyDescent="0.2">
      <c r="I1465" s="38"/>
      <c r="L1465" s="38"/>
      <c r="O1465" s="38"/>
      <c r="R1465" s="38"/>
      <c r="U1465" s="38"/>
      <c r="X1465" s="38"/>
      <c r="AA1465" s="38"/>
      <c r="AD1465" s="38"/>
      <c r="AG1465" s="38"/>
      <c r="AJ1465" s="38"/>
      <c r="AM1465" s="38"/>
      <c r="AP1465" s="38"/>
    </row>
    <row r="1466" spans="9:42" x14ac:dyDescent="0.2">
      <c r="I1466" s="38"/>
      <c r="L1466" s="38"/>
      <c r="O1466" s="38"/>
      <c r="R1466" s="38"/>
      <c r="U1466" s="38"/>
      <c r="X1466" s="38"/>
      <c r="AA1466" s="38"/>
      <c r="AD1466" s="38"/>
      <c r="AG1466" s="38"/>
      <c r="AJ1466" s="38"/>
      <c r="AM1466" s="38"/>
      <c r="AP1466" s="38"/>
    </row>
    <row r="1467" spans="9:42" x14ac:dyDescent="0.2">
      <c r="I1467" s="38"/>
      <c r="L1467" s="38"/>
      <c r="O1467" s="38"/>
      <c r="R1467" s="38"/>
      <c r="U1467" s="38"/>
      <c r="X1467" s="38"/>
      <c r="AA1467" s="38"/>
      <c r="AD1467" s="38"/>
      <c r="AG1467" s="38"/>
      <c r="AJ1467" s="38"/>
      <c r="AM1467" s="38"/>
      <c r="AP1467" s="38"/>
    </row>
    <row r="1468" spans="9:42" x14ac:dyDescent="0.2">
      <c r="I1468" s="38"/>
      <c r="L1468" s="38"/>
      <c r="O1468" s="38"/>
      <c r="R1468" s="38"/>
      <c r="U1468" s="38"/>
      <c r="X1468" s="38"/>
      <c r="AA1468" s="38"/>
      <c r="AD1468" s="38"/>
      <c r="AG1468" s="38"/>
      <c r="AJ1468" s="38"/>
      <c r="AM1468" s="38"/>
      <c r="AP1468" s="38"/>
    </row>
    <row r="1469" spans="9:42" x14ac:dyDescent="0.2">
      <c r="I1469" s="38"/>
      <c r="L1469" s="38"/>
      <c r="O1469" s="38"/>
      <c r="R1469" s="38"/>
      <c r="U1469" s="38"/>
      <c r="X1469" s="38"/>
      <c r="AA1469" s="38"/>
      <c r="AD1469" s="38"/>
      <c r="AG1469" s="38"/>
      <c r="AJ1469" s="38"/>
      <c r="AM1469" s="38"/>
      <c r="AP1469" s="38"/>
    </row>
    <row r="1470" spans="9:42" x14ac:dyDescent="0.2">
      <c r="I1470" s="38"/>
      <c r="L1470" s="38"/>
      <c r="O1470" s="38"/>
      <c r="R1470" s="38"/>
      <c r="U1470" s="38"/>
      <c r="X1470" s="38"/>
      <c r="AA1470" s="38"/>
      <c r="AD1470" s="38"/>
      <c r="AG1470" s="38"/>
      <c r="AJ1470" s="38"/>
      <c r="AM1470" s="38"/>
      <c r="AP1470" s="38"/>
    </row>
    <row r="1471" spans="9:42" x14ac:dyDescent="0.2">
      <c r="I1471" s="38"/>
      <c r="L1471" s="38"/>
      <c r="O1471" s="38"/>
      <c r="R1471" s="38"/>
      <c r="U1471" s="38"/>
      <c r="X1471" s="38"/>
      <c r="AA1471" s="38"/>
      <c r="AD1471" s="38"/>
      <c r="AG1471" s="38"/>
      <c r="AJ1471" s="38"/>
      <c r="AM1471" s="38"/>
      <c r="AP1471" s="38"/>
    </row>
    <row r="1472" spans="9:42" x14ac:dyDescent="0.2">
      <c r="I1472" s="38"/>
      <c r="L1472" s="38"/>
      <c r="O1472" s="38"/>
      <c r="R1472" s="38"/>
      <c r="U1472" s="38"/>
      <c r="X1472" s="38"/>
      <c r="AA1472" s="38"/>
      <c r="AD1472" s="38"/>
      <c r="AG1472" s="38"/>
      <c r="AJ1472" s="38"/>
      <c r="AM1472" s="38"/>
      <c r="AP1472" s="38"/>
    </row>
    <row r="1473" spans="9:42" x14ac:dyDescent="0.2">
      <c r="I1473" s="38"/>
      <c r="L1473" s="38"/>
      <c r="O1473" s="38"/>
      <c r="R1473" s="38"/>
      <c r="U1473" s="38"/>
      <c r="X1473" s="38"/>
      <c r="AA1473" s="38"/>
      <c r="AD1473" s="38"/>
      <c r="AG1473" s="38"/>
      <c r="AJ1473" s="38"/>
      <c r="AM1473" s="38"/>
      <c r="AP1473" s="38"/>
    </row>
    <row r="1474" spans="9:42" x14ac:dyDescent="0.2">
      <c r="I1474" s="38"/>
      <c r="L1474" s="38"/>
      <c r="O1474" s="38"/>
      <c r="R1474" s="38"/>
      <c r="U1474" s="38"/>
      <c r="X1474" s="38"/>
      <c r="AA1474" s="38"/>
      <c r="AD1474" s="38"/>
      <c r="AG1474" s="38"/>
      <c r="AJ1474" s="38"/>
      <c r="AM1474" s="38"/>
      <c r="AP1474" s="38"/>
    </row>
    <row r="1475" spans="9:42" x14ac:dyDescent="0.2">
      <c r="I1475" s="38"/>
      <c r="L1475" s="38"/>
      <c r="O1475" s="38"/>
      <c r="R1475" s="38"/>
      <c r="U1475" s="38"/>
      <c r="X1475" s="38"/>
      <c r="AA1475" s="38"/>
      <c r="AD1475" s="38"/>
      <c r="AG1475" s="38"/>
      <c r="AJ1475" s="38"/>
      <c r="AM1475" s="38"/>
      <c r="AP1475" s="38"/>
    </row>
    <row r="1476" spans="9:42" x14ac:dyDescent="0.2">
      <c r="I1476" s="38"/>
      <c r="L1476" s="38"/>
      <c r="O1476" s="38"/>
      <c r="R1476" s="38"/>
      <c r="U1476" s="38"/>
      <c r="X1476" s="38"/>
      <c r="AA1476" s="38"/>
      <c r="AD1476" s="38"/>
      <c r="AG1476" s="38"/>
      <c r="AJ1476" s="38"/>
      <c r="AM1476" s="38"/>
      <c r="AP1476" s="38"/>
    </row>
    <row r="1477" spans="9:42" x14ac:dyDescent="0.2">
      <c r="I1477" s="38"/>
      <c r="L1477" s="38"/>
      <c r="O1477" s="38"/>
      <c r="R1477" s="38"/>
      <c r="U1477" s="38"/>
      <c r="X1477" s="38"/>
      <c r="AA1477" s="38"/>
      <c r="AD1477" s="38"/>
      <c r="AG1477" s="38"/>
      <c r="AJ1477" s="38"/>
      <c r="AM1477" s="38"/>
      <c r="AP1477" s="38"/>
    </row>
    <row r="1478" spans="9:42" x14ac:dyDescent="0.2">
      <c r="I1478" s="38"/>
      <c r="L1478" s="38"/>
      <c r="O1478" s="38"/>
      <c r="R1478" s="38"/>
      <c r="U1478" s="38"/>
      <c r="X1478" s="38"/>
      <c r="AA1478" s="38"/>
      <c r="AD1478" s="38"/>
      <c r="AG1478" s="38"/>
      <c r="AJ1478" s="38"/>
      <c r="AM1478" s="38"/>
      <c r="AP1478" s="38"/>
    </row>
    <row r="1479" spans="9:42" x14ac:dyDescent="0.2">
      <c r="I1479" s="38"/>
      <c r="L1479" s="38"/>
      <c r="O1479" s="38"/>
      <c r="R1479" s="38"/>
      <c r="U1479" s="38"/>
      <c r="X1479" s="38"/>
      <c r="AA1479" s="38"/>
      <c r="AD1479" s="38"/>
      <c r="AG1479" s="38"/>
      <c r="AJ1479" s="38"/>
      <c r="AM1479" s="38"/>
      <c r="AP1479" s="38"/>
    </row>
    <row r="1480" spans="9:42" x14ac:dyDescent="0.2">
      <c r="I1480" s="38"/>
      <c r="L1480" s="38"/>
      <c r="O1480" s="38"/>
      <c r="R1480" s="38"/>
      <c r="U1480" s="38"/>
      <c r="X1480" s="38"/>
      <c r="AA1480" s="38"/>
      <c r="AD1480" s="38"/>
      <c r="AG1480" s="38"/>
      <c r="AJ1480" s="38"/>
      <c r="AM1480" s="38"/>
      <c r="AP1480" s="38"/>
    </row>
    <row r="1481" spans="9:42" x14ac:dyDescent="0.2">
      <c r="I1481" s="38"/>
      <c r="L1481" s="38"/>
      <c r="O1481" s="38"/>
      <c r="R1481" s="38"/>
      <c r="U1481" s="38"/>
      <c r="X1481" s="38"/>
      <c r="AA1481" s="38"/>
      <c r="AD1481" s="38"/>
      <c r="AG1481" s="38"/>
      <c r="AJ1481" s="38"/>
      <c r="AM1481" s="38"/>
      <c r="AP1481" s="38"/>
    </row>
    <row r="1482" spans="9:42" x14ac:dyDescent="0.2">
      <c r="I1482" s="38"/>
      <c r="L1482" s="38"/>
      <c r="O1482" s="38"/>
      <c r="R1482" s="38"/>
      <c r="U1482" s="38"/>
      <c r="X1482" s="38"/>
      <c r="AA1482" s="38"/>
      <c r="AD1482" s="38"/>
      <c r="AG1482" s="38"/>
      <c r="AJ1482" s="38"/>
      <c r="AM1482" s="38"/>
      <c r="AP1482" s="38"/>
    </row>
    <row r="1483" spans="9:42" x14ac:dyDescent="0.2">
      <c r="I1483" s="38"/>
      <c r="L1483" s="38"/>
      <c r="O1483" s="38"/>
      <c r="R1483" s="38"/>
      <c r="U1483" s="38"/>
      <c r="X1483" s="38"/>
      <c r="AA1483" s="38"/>
      <c r="AD1483" s="38"/>
      <c r="AG1483" s="38"/>
      <c r="AJ1483" s="38"/>
      <c r="AM1483" s="38"/>
      <c r="AP1483" s="38"/>
    </row>
    <row r="1484" spans="9:42" x14ac:dyDescent="0.2">
      <c r="I1484" s="38"/>
      <c r="L1484" s="38"/>
      <c r="O1484" s="38"/>
      <c r="R1484" s="38"/>
      <c r="U1484" s="38"/>
      <c r="X1484" s="38"/>
      <c r="AA1484" s="38"/>
      <c r="AD1484" s="38"/>
      <c r="AG1484" s="38"/>
      <c r="AJ1484" s="38"/>
      <c r="AM1484" s="38"/>
      <c r="AP1484" s="38"/>
    </row>
    <row r="1485" spans="9:42" x14ac:dyDescent="0.2">
      <c r="I1485" s="38"/>
      <c r="L1485" s="38"/>
      <c r="O1485" s="38"/>
      <c r="R1485" s="38"/>
      <c r="U1485" s="38"/>
      <c r="X1485" s="38"/>
      <c r="AA1485" s="38"/>
      <c r="AD1485" s="38"/>
      <c r="AG1485" s="38"/>
      <c r="AJ1485" s="38"/>
      <c r="AM1485" s="38"/>
      <c r="AP1485" s="38"/>
    </row>
    <row r="1486" spans="9:42" x14ac:dyDescent="0.2">
      <c r="I1486" s="38"/>
      <c r="L1486" s="38"/>
      <c r="O1486" s="38"/>
      <c r="R1486" s="38"/>
      <c r="U1486" s="38"/>
      <c r="X1486" s="38"/>
      <c r="AA1486" s="38"/>
      <c r="AD1486" s="38"/>
      <c r="AG1486" s="38"/>
      <c r="AJ1486" s="38"/>
      <c r="AM1486" s="38"/>
      <c r="AP1486" s="38"/>
    </row>
    <row r="1487" spans="9:42" x14ac:dyDescent="0.2">
      <c r="I1487" s="38"/>
      <c r="L1487" s="38"/>
      <c r="O1487" s="38"/>
      <c r="R1487" s="38"/>
      <c r="U1487" s="38"/>
      <c r="X1487" s="38"/>
      <c r="AA1487" s="38"/>
      <c r="AD1487" s="38"/>
      <c r="AG1487" s="38"/>
      <c r="AJ1487" s="38"/>
      <c r="AM1487" s="38"/>
      <c r="AP1487" s="38"/>
    </row>
    <row r="1488" spans="9:42" x14ac:dyDescent="0.2">
      <c r="I1488" s="38"/>
      <c r="L1488" s="38"/>
      <c r="O1488" s="38"/>
      <c r="R1488" s="38"/>
      <c r="U1488" s="38"/>
      <c r="X1488" s="38"/>
      <c r="AA1488" s="38"/>
      <c r="AD1488" s="38"/>
      <c r="AG1488" s="38"/>
      <c r="AJ1488" s="38"/>
      <c r="AM1488" s="38"/>
      <c r="AP1488" s="38"/>
    </row>
    <row r="1489" spans="9:42" x14ac:dyDescent="0.2">
      <c r="I1489" s="38"/>
      <c r="L1489" s="38"/>
      <c r="O1489" s="38"/>
      <c r="R1489" s="38"/>
      <c r="U1489" s="38"/>
      <c r="X1489" s="38"/>
      <c r="AA1489" s="38"/>
      <c r="AD1489" s="38"/>
      <c r="AG1489" s="38"/>
      <c r="AJ1489" s="38"/>
      <c r="AM1489" s="38"/>
      <c r="AP1489" s="38"/>
    </row>
    <row r="1490" spans="9:42" x14ac:dyDescent="0.2">
      <c r="I1490" s="38"/>
      <c r="L1490" s="38"/>
      <c r="O1490" s="38"/>
      <c r="R1490" s="38"/>
      <c r="U1490" s="38"/>
      <c r="X1490" s="38"/>
      <c r="AA1490" s="38"/>
      <c r="AD1490" s="38"/>
      <c r="AG1490" s="38"/>
      <c r="AJ1490" s="38"/>
      <c r="AM1490" s="38"/>
      <c r="AP1490" s="38"/>
    </row>
    <row r="1491" spans="9:42" x14ac:dyDescent="0.2">
      <c r="I1491" s="38"/>
      <c r="L1491" s="38"/>
      <c r="O1491" s="38"/>
      <c r="R1491" s="38"/>
      <c r="U1491" s="38"/>
      <c r="X1491" s="38"/>
      <c r="AA1491" s="38"/>
      <c r="AD1491" s="38"/>
      <c r="AG1491" s="38"/>
      <c r="AJ1491" s="38"/>
      <c r="AM1491" s="38"/>
      <c r="AP1491" s="38"/>
    </row>
    <row r="1492" spans="9:42" x14ac:dyDescent="0.2">
      <c r="I1492" s="38"/>
      <c r="L1492" s="38"/>
      <c r="O1492" s="38"/>
      <c r="R1492" s="38"/>
      <c r="U1492" s="38"/>
      <c r="X1492" s="38"/>
      <c r="AA1492" s="38"/>
      <c r="AD1492" s="38"/>
      <c r="AG1492" s="38"/>
      <c r="AJ1492" s="38"/>
      <c r="AM1492" s="38"/>
      <c r="AP1492" s="38"/>
    </row>
    <row r="1493" spans="9:42" x14ac:dyDescent="0.2">
      <c r="I1493" s="38"/>
      <c r="L1493" s="38"/>
      <c r="O1493" s="38"/>
      <c r="R1493" s="38"/>
      <c r="U1493" s="38"/>
      <c r="X1493" s="38"/>
      <c r="AA1493" s="38"/>
      <c r="AD1493" s="38"/>
      <c r="AG1493" s="38"/>
      <c r="AJ1493" s="38"/>
      <c r="AM1493" s="38"/>
      <c r="AP1493" s="38"/>
    </row>
    <row r="1494" spans="9:42" x14ac:dyDescent="0.2">
      <c r="I1494" s="38"/>
      <c r="L1494" s="38"/>
      <c r="O1494" s="38"/>
      <c r="R1494" s="38"/>
      <c r="U1494" s="38"/>
      <c r="X1494" s="38"/>
      <c r="AA1494" s="38"/>
      <c r="AD1494" s="38"/>
      <c r="AG1494" s="38"/>
      <c r="AJ1494" s="38"/>
      <c r="AM1494" s="38"/>
      <c r="AP1494" s="38"/>
    </row>
    <row r="1495" spans="9:42" x14ac:dyDescent="0.2">
      <c r="I1495" s="38"/>
      <c r="L1495" s="38"/>
      <c r="O1495" s="38"/>
      <c r="R1495" s="38"/>
      <c r="U1495" s="38"/>
      <c r="X1495" s="38"/>
      <c r="AA1495" s="38"/>
      <c r="AD1495" s="38"/>
      <c r="AG1495" s="38"/>
      <c r="AJ1495" s="38"/>
      <c r="AM1495" s="38"/>
      <c r="AP1495" s="38"/>
    </row>
    <row r="1496" spans="9:42" x14ac:dyDescent="0.2">
      <c r="I1496" s="38"/>
      <c r="L1496" s="38"/>
      <c r="O1496" s="38"/>
      <c r="R1496" s="38"/>
      <c r="U1496" s="38"/>
      <c r="X1496" s="38"/>
      <c r="AA1496" s="38"/>
      <c r="AD1496" s="38"/>
      <c r="AG1496" s="38"/>
      <c r="AJ1496" s="38"/>
      <c r="AM1496" s="38"/>
      <c r="AP1496" s="38"/>
    </row>
    <row r="1497" spans="9:42" x14ac:dyDescent="0.2">
      <c r="I1497" s="38"/>
      <c r="L1497" s="38"/>
      <c r="O1497" s="38"/>
      <c r="R1497" s="38"/>
      <c r="U1497" s="38"/>
      <c r="X1497" s="38"/>
      <c r="AA1497" s="38"/>
      <c r="AD1497" s="38"/>
      <c r="AG1497" s="38"/>
      <c r="AJ1497" s="38"/>
      <c r="AM1497" s="38"/>
      <c r="AP1497" s="38"/>
    </row>
    <row r="1498" spans="9:42" x14ac:dyDescent="0.2">
      <c r="I1498" s="38"/>
      <c r="L1498" s="38"/>
      <c r="O1498" s="38"/>
      <c r="R1498" s="38"/>
      <c r="U1498" s="38"/>
      <c r="X1498" s="38"/>
      <c r="AA1498" s="38"/>
      <c r="AD1498" s="38"/>
      <c r="AG1498" s="38"/>
      <c r="AJ1498" s="38"/>
      <c r="AM1498" s="38"/>
      <c r="AP1498" s="38"/>
    </row>
    <row r="1499" spans="9:42" x14ac:dyDescent="0.2">
      <c r="I1499" s="38"/>
      <c r="L1499" s="38"/>
      <c r="O1499" s="38"/>
      <c r="R1499" s="38"/>
      <c r="U1499" s="38"/>
      <c r="X1499" s="38"/>
      <c r="AA1499" s="38"/>
      <c r="AD1499" s="38"/>
      <c r="AG1499" s="38"/>
      <c r="AJ1499" s="38"/>
      <c r="AM1499" s="38"/>
      <c r="AP1499" s="38"/>
    </row>
    <row r="1500" spans="9:42" x14ac:dyDescent="0.2">
      <c r="I1500" s="38"/>
      <c r="L1500" s="38"/>
      <c r="O1500" s="38"/>
      <c r="R1500" s="38"/>
      <c r="U1500" s="38"/>
      <c r="X1500" s="38"/>
      <c r="AA1500" s="38"/>
      <c r="AD1500" s="38"/>
      <c r="AG1500" s="38"/>
      <c r="AJ1500" s="38"/>
      <c r="AM1500" s="38"/>
      <c r="AP1500" s="38"/>
    </row>
    <row r="1501" spans="9:42" x14ac:dyDescent="0.2">
      <c r="I1501" s="38"/>
      <c r="L1501" s="38"/>
      <c r="O1501" s="38"/>
      <c r="R1501" s="38"/>
      <c r="U1501" s="38"/>
      <c r="X1501" s="38"/>
      <c r="AA1501" s="38"/>
      <c r="AD1501" s="38"/>
      <c r="AG1501" s="38"/>
      <c r="AJ1501" s="38"/>
      <c r="AM1501" s="38"/>
      <c r="AP1501" s="38"/>
    </row>
    <row r="1502" spans="9:42" x14ac:dyDescent="0.2">
      <c r="I1502" s="38"/>
      <c r="L1502" s="38"/>
      <c r="O1502" s="38"/>
      <c r="R1502" s="38"/>
      <c r="U1502" s="38"/>
      <c r="X1502" s="38"/>
      <c r="AA1502" s="38"/>
      <c r="AD1502" s="38"/>
      <c r="AG1502" s="38"/>
      <c r="AJ1502" s="38"/>
      <c r="AM1502" s="38"/>
      <c r="AP1502" s="38"/>
    </row>
    <row r="1503" spans="9:42" x14ac:dyDescent="0.2">
      <c r="I1503" s="38"/>
      <c r="L1503" s="38"/>
      <c r="O1503" s="38"/>
      <c r="R1503" s="38"/>
      <c r="U1503" s="38"/>
      <c r="X1503" s="38"/>
      <c r="AA1503" s="38"/>
      <c r="AD1503" s="38"/>
      <c r="AG1503" s="38"/>
      <c r="AJ1503" s="38"/>
      <c r="AM1503" s="38"/>
      <c r="AP1503" s="38"/>
    </row>
    <row r="1504" spans="9:42" x14ac:dyDescent="0.2">
      <c r="I1504" s="38"/>
      <c r="L1504" s="38"/>
      <c r="O1504" s="38"/>
      <c r="R1504" s="38"/>
      <c r="U1504" s="38"/>
      <c r="X1504" s="38"/>
      <c r="AA1504" s="38"/>
      <c r="AD1504" s="38"/>
      <c r="AG1504" s="38"/>
      <c r="AJ1504" s="38"/>
      <c r="AM1504" s="38"/>
      <c r="AP1504" s="38"/>
    </row>
    <row r="1505" spans="9:42" x14ac:dyDescent="0.2">
      <c r="I1505" s="38"/>
      <c r="L1505" s="38"/>
      <c r="O1505" s="38"/>
      <c r="R1505" s="38"/>
      <c r="U1505" s="38"/>
      <c r="X1505" s="38"/>
      <c r="AA1505" s="38"/>
      <c r="AD1505" s="38"/>
      <c r="AG1505" s="38"/>
      <c r="AJ1505" s="38"/>
      <c r="AM1505" s="38"/>
      <c r="AP1505" s="38"/>
    </row>
    <row r="1506" spans="9:42" x14ac:dyDescent="0.2">
      <c r="I1506" s="38"/>
      <c r="L1506" s="38"/>
      <c r="O1506" s="38"/>
      <c r="R1506" s="38"/>
      <c r="U1506" s="38"/>
      <c r="X1506" s="38"/>
      <c r="AA1506" s="38"/>
      <c r="AD1506" s="38"/>
      <c r="AG1506" s="38"/>
      <c r="AJ1506" s="38"/>
      <c r="AM1506" s="38"/>
      <c r="AP1506" s="38"/>
    </row>
    <row r="1507" spans="9:42" x14ac:dyDescent="0.2">
      <c r="I1507" s="38"/>
      <c r="L1507" s="38"/>
      <c r="O1507" s="38"/>
      <c r="R1507" s="38"/>
      <c r="U1507" s="38"/>
      <c r="X1507" s="38"/>
      <c r="AA1507" s="38"/>
      <c r="AD1507" s="38"/>
      <c r="AG1507" s="38"/>
      <c r="AJ1507" s="38"/>
      <c r="AM1507" s="38"/>
      <c r="AP1507" s="38"/>
    </row>
    <row r="1508" spans="9:42" x14ac:dyDescent="0.2">
      <c r="I1508" s="38"/>
      <c r="L1508" s="38"/>
      <c r="O1508" s="38"/>
      <c r="R1508" s="38"/>
      <c r="U1508" s="38"/>
      <c r="X1508" s="38"/>
      <c r="AA1508" s="38"/>
      <c r="AD1508" s="38"/>
      <c r="AG1508" s="38"/>
      <c r="AJ1508" s="38"/>
      <c r="AM1508" s="38"/>
      <c r="AP1508" s="38"/>
    </row>
    <row r="1509" spans="9:42" x14ac:dyDescent="0.2">
      <c r="I1509" s="38"/>
      <c r="L1509" s="38"/>
      <c r="O1509" s="38"/>
      <c r="R1509" s="38"/>
      <c r="U1509" s="38"/>
      <c r="X1509" s="38"/>
      <c r="AA1509" s="38"/>
      <c r="AD1509" s="38"/>
      <c r="AG1509" s="38"/>
      <c r="AJ1509" s="38"/>
      <c r="AM1509" s="38"/>
      <c r="AP1509" s="38"/>
    </row>
    <row r="1510" spans="9:42" x14ac:dyDescent="0.2">
      <c r="I1510" s="38"/>
      <c r="L1510" s="38"/>
      <c r="O1510" s="38"/>
      <c r="R1510" s="38"/>
      <c r="U1510" s="38"/>
      <c r="X1510" s="38"/>
      <c r="AA1510" s="38"/>
      <c r="AD1510" s="38"/>
      <c r="AG1510" s="38"/>
      <c r="AJ1510" s="38"/>
      <c r="AM1510" s="38"/>
      <c r="AP1510" s="38"/>
    </row>
    <row r="1511" spans="9:42" x14ac:dyDescent="0.2">
      <c r="I1511" s="38"/>
      <c r="L1511" s="38"/>
      <c r="O1511" s="38"/>
      <c r="R1511" s="38"/>
      <c r="U1511" s="38"/>
      <c r="X1511" s="38"/>
      <c r="AA1511" s="38"/>
      <c r="AD1511" s="38"/>
      <c r="AG1511" s="38"/>
      <c r="AJ1511" s="38"/>
      <c r="AM1511" s="38"/>
      <c r="AP1511" s="38"/>
    </row>
    <row r="1512" spans="9:42" x14ac:dyDescent="0.2">
      <c r="I1512" s="38"/>
      <c r="L1512" s="38"/>
      <c r="O1512" s="38"/>
      <c r="R1512" s="38"/>
      <c r="U1512" s="38"/>
      <c r="X1512" s="38"/>
      <c r="AA1512" s="38"/>
      <c r="AD1512" s="38"/>
      <c r="AG1512" s="38"/>
      <c r="AJ1512" s="38"/>
      <c r="AM1512" s="38"/>
      <c r="AP1512" s="38"/>
    </row>
    <row r="1513" spans="9:42" x14ac:dyDescent="0.2">
      <c r="I1513" s="38"/>
      <c r="L1513" s="38"/>
      <c r="O1513" s="38"/>
      <c r="R1513" s="38"/>
      <c r="U1513" s="38"/>
      <c r="X1513" s="38"/>
      <c r="AA1513" s="38"/>
      <c r="AD1513" s="38"/>
      <c r="AG1513" s="38"/>
      <c r="AJ1513" s="38"/>
      <c r="AM1513" s="38"/>
      <c r="AP1513" s="38"/>
    </row>
    <row r="1514" spans="9:42" x14ac:dyDescent="0.2">
      <c r="I1514" s="38"/>
      <c r="L1514" s="38"/>
      <c r="O1514" s="38"/>
      <c r="R1514" s="38"/>
      <c r="U1514" s="38"/>
      <c r="X1514" s="38"/>
      <c r="AA1514" s="38"/>
      <c r="AD1514" s="38"/>
      <c r="AG1514" s="38"/>
      <c r="AJ1514" s="38"/>
      <c r="AM1514" s="38"/>
      <c r="AP1514" s="38"/>
    </row>
    <row r="1515" spans="9:42" x14ac:dyDescent="0.2">
      <c r="I1515" s="38"/>
      <c r="L1515" s="38"/>
      <c r="O1515" s="38"/>
      <c r="R1515" s="38"/>
      <c r="U1515" s="38"/>
      <c r="X1515" s="38"/>
      <c r="AA1515" s="38"/>
      <c r="AD1515" s="38"/>
      <c r="AG1515" s="38"/>
      <c r="AJ1515" s="38"/>
      <c r="AM1515" s="38"/>
      <c r="AP1515" s="38"/>
    </row>
    <row r="1516" spans="9:42" x14ac:dyDescent="0.2">
      <c r="I1516" s="38"/>
      <c r="L1516" s="38"/>
      <c r="O1516" s="38"/>
      <c r="R1516" s="38"/>
      <c r="U1516" s="38"/>
      <c r="X1516" s="38"/>
      <c r="AA1516" s="38"/>
      <c r="AD1516" s="38"/>
      <c r="AG1516" s="38"/>
      <c r="AJ1516" s="38"/>
      <c r="AM1516" s="38"/>
      <c r="AP1516" s="38"/>
    </row>
    <row r="1517" spans="9:42" x14ac:dyDescent="0.2">
      <c r="I1517" s="38"/>
      <c r="L1517" s="38"/>
      <c r="O1517" s="38"/>
      <c r="R1517" s="38"/>
      <c r="U1517" s="38"/>
      <c r="X1517" s="38"/>
      <c r="AA1517" s="38"/>
      <c r="AD1517" s="38"/>
      <c r="AG1517" s="38"/>
      <c r="AJ1517" s="38"/>
      <c r="AM1517" s="38"/>
      <c r="AP1517" s="38"/>
    </row>
    <row r="1518" spans="9:42" x14ac:dyDescent="0.2">
      <c r="I1518" s="38"/>
      <c r="L1518" s="38"/>
      <c r="O1518" s="38"/>
      <c r="R1518" s="38"/>
      <c r="U1518" s="38"/>
      <c r="X1518" s="38"/>
      <c r="AA1518" s="38"/>
      <c r="AD1518" s="38"/>
      <c r="AG1518" s="38"/>
      <c r="AJ1518" s="38"/>
      <c r="AM1518" s="38"/>
      <c r="AP1518" s="38"/>
    </row>
    <row r="1519" spans="9:42" x14ac:dyDescent="0.2">
      <c r="I1519" s="38"/>
      <c r="L1519" s="38"/>
      <c r="O1519" s="38"/>
      <c r="R1519" s="38"/>
      <c r="U1519" s="38"/>
      <c r="X1519" s="38"/>
      <c r="AA1519" s="38"/>
      <c r="AD1519" s="38"/>
      <c r="AG1519" s="38"/>
      <c r="AJ1519" s="38"/>
      <c r="AM1519" s="38"/>
      <c r="AP1519" s="38"/>
    </row>
    <row r="1520" spans="9:42" x14ac:dyDescent="0.2">
      <c r="I1520" s="38"/>
      <c r="L1520" s="38"/>
      <c r="O1520" s="38"/>
      <c r="R1520" s="38"/>
      <c r="U1520" s="38"/>
      <c r="X1520" s="38"/>
      <c r="AA1520" s="38"/>
      <c r="AD1520" s="38"/>
      <c r="AG1520" s="38"/>
      <c r="AJ1520" s="38"/>
      <c r="AM1520" s="38"/>
      <c r="AP1520" s="38"/>
    </row>
    <row r="1521" spans="9:42" x14ac:dyDescent="0.2">
      <c r="I1521" s="38"/>
      <c r="L1521" s="38"/>
      <c r="O1521" s="38"/>
      <c r="R1521" s="38"/>
      <c r="U1521" s="38"/>
      <c r="X1521" s="38"/>
      <c r="AA1521" s="38"/>
      <c r="AD1521" s="38"/>
      <c r="AG1521" s="38"/>
      <c r="AJ1521" s="38"/>
      <c r="AM1521" s="38"/>
      <c r="AP1521" s="38"/>
    </row>
    <row r="1522" spans="9:42" x14ac:dyDescent="0.2">
      <c r="I1522" s="38"/>
      <c r="L1522" s="38"/>
      <c r="O1522" s="38"/>
      <c r="R1522" s="38"/>
      <c r="U1522" s="38"/>
      <c r="X1522" s="38"/>
      <c r="AA1522" s="38"/>
      <c r="AD1522" s="38"/>
      <c r="AG1522" s="38"/>
      <c r="AJ1522" s="38"/>
      <c r="AM1522" s="38"/>
      <c r="AP1522" s="38"/>
    </row>
    <row r="1523" spans="9:42" x14ac:dyDescent="0.2">
      <c r="I1523" s="38"/>
      <c r="L1523" s="38"/>
      <c r="O1523" s="38"/>
      <c r="R1523" s="38"/>
      <c r="U1523" s="38"/>
      <c r="X1523" s="38"/>
      <c r="AA1523" s="38"/>
      <c r="AD1523" s="38"/>
      <c r="AG1523" s="38"/>
      <c r="AJ1523" s="38"/>
      <c r="AM1523" s="38"/>
      <c r="AP1523" s="38"/>
    </row>
    <row r="1524" spans="9:42" x14ac:dyDescent="0.2">
      <c r="I1524" s="38"/>
      <c r="L1524" s="38"/>
      <c r="O1524" s="38"/>
      <c r="R1524" s="38"/>
      <c r="U1524" s="38"/>
      <c r="X1524" s="38"/>
      <c r="AA1524" s="38"/>
      <c r="AD1524" s="38"/>
      <c r="AG1524" s="38"/>
      <c r="AJ1524" s="38"/>
      <c r="AM1524" s="38"/>
      <c r="AP1524" s="38"/>
    </row>
    <row r="1525" spans="9:42" x14ac:dyDescent="0.2">
      <c r="I1525" s="38"/>
      <c r="L1525" s="38"/>
      <c r="O1525" s="38"/>
      <c r="R1525" s="38"/>
      <c r="U1525" s="38"/>
      <c r="X1525" s="38"/>
      <c r="AA1525" s="38"/>
      <c r="AD1525" s="38"/>
      <c r="AG1525" s="38"/>
      <c r="AJ1525" s="38"/>
      <c r="AM1525" s="38"/>
      <c r="AP1525" s="38"/>
    </row>
    <row r="1526" spans="9:42" x14ac:dyDescent="0.2">
      <c r="I1526" s="38"/>
      <c r="L1526" s="38"/>
      <c r="O1526" s="38"/>
      <c r="R1526" s="38"/>
      <c r="U1526" s="38"/>
      <c r="X1526" s="38"/>
      <c r="AA1526" s="38"/>
      <c r="AD1526" s="38"/>
      <c r="AG1526" s="38"/>
      <c r="AJ1526" s="38"/>
      <c r="AM1526" s="38"/>
      <c r="AP1526" s="38"/>
    </row>
    <row r="1527" spans="9:42" x14ac:dyDescent="0.2">
      <c r="I1527" s="38"/>
      <c r="L1527" s="38"/>
      <c r="O1527" s="38"/>
      <c r="R1527" s="38"/>
      <c r="U1527" s="38"/>
      <c r="X1527" s="38"/>
      <c r="AA1527" s="38"/>
      <c r="AD1527" s="38"/>
      <c r="AG1527" s="38"/>
      <c r="AJ1527" s="38"/>
      <c r="AM1527" s="38"/>
      <c r="AP1527" s="38"/>
    </row>
    <row r="1528" spans="9:42" x14ac:dyDescent="0.2">
      <c r="I1528" s="38"/>
      <c r="L1528" s="38"/>
      <c r="O1528" s="38"/>
      <c r="R1528" s="38"/>
      <c r="U1528" s="38"/>
      <c r="X1528" s="38"/>
      <c r="AA1528" s="38"/>
      <c r="AD1528" s="38"/>
      <c r="AG1528" s="38"/>
      <c r="AJ1528" s="38"/>
      <c r="AM1528" s="38"/>
      <c r="AP1528" s="38"/>
    </row>
    <row r="1529" spans="9:42" x14ac:dyDescent="0.2">
      <c r="I1529" s="38"/>
      <c r="L1529" s="38"/>
      <c r="O1529" s="38"/>
      <c r="R1529" s="38"/>
      <c r="U1529" s="38"/>
      <c r="X1529" s="38"/>
      <c r="AA1529" s="38"/>
      <c r="AD1529" s="38"/>
      <c r="AG1529" s="38"/>
      <c r="AJ1529" s="38"/>
      <c r="AM1529" s="38"/>
      <c r="AP1529" s="38"/>
    </row>
    <row r="1530" spans="9:42" x14ac:dyDescent="0.2">
      <c r="I1530" s="38"/>
      <c r="L1530" s="38"/>
      <c r="O1530" s="38"/>
      <c r="R1530" s="38"/>
      <c r="U1530" s="38"/>
      <c r="X1530" s="38"/>
      <c r="AA1530" s="38"/>
      <c r="AD1530" s="38"/>
      <c r="AG1530" s="38"/>
      <c r="AJ1530" s="38"/>
      <c r="AM1530" s="38"/>
      <c r="AP1530" s="38"/>
    </row>
    <row r="1531" spans="9:42" x14ac:dyDescent="0.2">
      <c r="I1531" s="38"/>
      <c r="L1531" s="38"/>
      <c r="O1531" s="38"/>
      <c r="R1531" s="38"/>
      <c r="U1531" s="38"/>
      <c r="X1531" s="38"/>
      <c r="AA1531" s="38"/>
      <c r="AD1531" s="38"/>
      <c r="AG1531" s="38"/>
      <c r="AJ1531" s="38"/>
      <c r="AM1531" s="38"/>
      <c r="AP1531" s="38"/>
    </row>
    <row r="1532" spans="9:42" x14ac:dyDescent="0.2">
      <c r="I1532" s="38"/>
      <c r="L1532" s="38"/>
      <c r="O1532" s="38"/>
      <c r="R1532" s="38"/>
      <c r="U1532" s="38"/>
      <c r="X1532" s="38"/>
      <c r="AA1532" s="38"/>
      <c r="AD1532" s="38"/>
      <c r="AG1532" s="38"/>
      <c r="AJ1532" s="38"/>
      <c r="AM1532" s="38"/>
      <c r="AP1532" s="38"/>
    </row>
    <row r="1533" spans="9:42" x14ac:dyDescent="0.2">
      <c r="I1533" s="38"/>
      <c r="L1533" s="38"/>
      <c r="O1533" s="38"/>
      <c r="R1533" s="38"/>
      <c r="U1533" s="38"/>
      <c r="X1533" s="38"/>
      <c r="AA1533" s="38"/>
      <c r="AD1533" s="38"/>
      <c r="AG1533" s="38"/>
      <c r="AJ1533" s="38"/>
      <c r="AM1533" s="38"/>
      <c r="AP1533" s="38"/>
    </row>
    <row r="1534" spans="9:42" x14ac:dyDescent="0.2">
      <c r="I1534" s="38"/>
      <c r="L1534" s="38"/>
      <c r="O1534" s="38"/>
      <c r="R1534" s="38"/>
      <c r="U1534" s="38"/>
      <c r="X1534" s="38"/>
      <c r="AA1534" s="38"/>
      <c r="AD1534" s="38"/>
      <c r="AG1534" s="38"/>
      <c r="AJ1534" s="38"/>
      <c r="AM1534" s="38"/>
      <c r="AP1534" s="38"/>
    </row>
    <row r="1535" spans="9:42" x14ac:dyDescent="0.2">
      <c r="I1535" s="38"/>
      <c r="L1535" s="38"/>
      <c r="O1535" s="38"/>
      <c r="R1535" s="38"/>
      <c r="U1535" s="38"/>
      <c r="X1535" s="38"/>
      <c r="AA1535" s="38"/>
      <c r="AD1535" s="38"/>
      <c r="AG1535" s="38"/>
      <c r="AJ1535" s="38"/>
      <c r="AM1535" s="38"/>
      <c r="AP1535" s="38"/>
    </row>
    <row r="1536" spans="9:42" x14ac:dyDescent="0.2">
      <c r="I1536" s="38"/>
      <c r="L1536" s="38"/>
      <c r="O1536" s="38"/>
      <c r="R1536" s="38"/>
      <c r="U1536" s="38"/>
      <c r="X1536" s="38"/>
      <c r="AA1536" s="38"/>
      <c r="AD1536" s="38"/>
      <c r="AG1536" s="38"/>
      <c r="AJ1536" s="38"/>
      <c r="AM1536" s="38"/>
      <c r="AP1536" s="38"/>
    </row>
    <row r="1537" spans="9:42" x14ac:dyDescent="0.2">
      <c r="I1537" s="38"/>
      <c r="L1537" s="38"/>
      <c r="O1537" s="38"/>
      <c r="R1537" s="38"/>
      <c r="U1537" s="38"/>
      <c r="X1537" s="38"/>
      <c r="AA1537" s="38"/>
      <c r="AD1537" s="38"/>
      <c r="AG1537" s="38"/>
      <c r="AJ1537" s="38"/>
      <c r="AM1537" s="38"/>
      <c r="AP1537" s="38"/>
    </row>
    <row r="1538" spans="9:42" x14ac:dyDescent="0.2">
      <c r="I1538" s="38"/>
      <c r="L1538" s="38"/>
      <c r="O1538" s="38"/>
      <c r="R1538" s="38"/>
      <c r="U1538" s="38"/>
      <c r="X1538" s="38"/>
      <c r="AA1538" s="38"/>
      <c r="AD1538" s="38"/>
      <c r="AG1538" s="38"/>
      <c r="AJ1538" s="38"/>
      <c r="AM1538" s="38"/>
      <c r="AP1538" s="38"/>
    </row>
    <row r="1539" spans="9:42" x14ac:dyDescent="0.2">
      <c r="I1539" s="38"/>
      <c r="L1539" s="38"/>
      <c r="O1539" s="38"/>
      <c r="R1539" s="38"/>
      <c r="U1539" s="38"/>
      <c r="X1539" s="38"/>
      <c r="AA1539" s="38"/>
      <c r="AD1539" s="38"/>
      <c r="AG1539" s="38"/>
      <c r="AJ1539" s="38"/>
      <c r="AM1539" s="38"/>
      <c r="AP1539" s="38"/>
    </row>
    <row r="1540" spans="9:42" x14ac:dyDescent="0.2">
      <c r="I1540" s="38"/>
      <c r="L1540" s="38"/>
      <c r="O1540" s="38"/>
      <c r="R1540" s="38"/>
      <c r="U1540" s="38"/>
      <c r="X1540" s="38"/>
      <c r="AA1540" s="38"/>
      <c r="AD1540" s="38"/>
      <c r="AG1540" s="38"/>
      <c r="AJ1540" s="38"/>
      <c r="AM1540" s="38"/>
      <c r="AP1540" s="38"/>
    </row>
    <row r="1541" spans="9:42" x14ac:dyDescent="0.2">
      <c r="I1541" s="38"/>
      <c r="L1541" s="38"/>
      <c r="O1541" s="38"/>
      <c r="R1541" s="38"/>
      <c r="U1541" s="38"/>
      <c r="X1541" s="38"/>
      <c r="AA1541" s="38"/>
      <c r="AD1541" s="38"/>
      <c r="AG1541" s="38"/>
      <c r="AJ1541" s="38"/>
      <c r="AM1541" s="38"/>
      <c r="AP1541" s="38"/>
    </row>
    <row r="1542" spans="9:42" x14ac:dyDescent="0.2">
      <c r="I1542" s="38"/>
      <c r="L1542" s="38"/>
      <c r="O1542" s="38"/>
      <c r="R1542" s="38"/>
      <c r="U1542" s="38"/>
      <c r="X1542" s="38"/>
      <c r="AA1542" s="38"/>
      <c r="AD1542" s="38"/>
      <c r="AG1542" s="38"/>
      <c r="AJ1542" s="38"/>
      <c r="AM1542" s="38"/>
      <c r="AP1542" s="38"/>
    </row>
    <row r="1543" spans="9:42" x14ac:dyDescent="0.2">
      <c r="I1543" s="38"/>
      <c r="L1543" s="38"/>
      <c r="O1543" s="38"/>
      <c r="R1543" s="38"/>
      <c r="U1543" s="38"/>
      <c r="X1543" s="38"/>
      <c r="AA1543" s="38"/>
      <c r="AD1543" s="38"/>
      <c r="AG1543" s="38"/>
      <c r="AJ1543" s="38"/>
      <c r="AM1543" s="38"/>
      <c r="AP1543" s="38"/>
    </row>
    <row r="1544" spans="9:42" x14ac:dyDescent="0.2">
      <c r="I1544" s="38"/>
      <c r="L1544" s="38"/>
      <c r="O1544" s="38"/>
      <c r="R1544" s="38"/>
      <c r="U1544" s="38"/>
      <c r="X1544" s="38"/>
      <c r="AA1544" s="38"/>
      <c r="AD1544" s="38"/>
      <c r="AG1544" s="38"/>
      <c r="AJ1544" s="38"/>
      <c r="AM1544" s="38"/>
      <c r="AP1544" s="38"/>
    </row>
    <row r="1545" spans="9:42" x14ac:dyDescent="0.2">
      <c r="I1545" s="38"/>
      <c r="L1545" s="38"/>
      <c r="O1545" s="38"/>
      <c r="R1545" s="38"/>
      <c r="U1545" s="38"/>
      <c r="X1545" s="38"/>
      <c r="AA1545" s="38"/>
      <c r="AD1545" s="38"/>
      <c r="AG1545" s="38"/>
      <c r="AJ1545" s="38"/>
      <c r="AM1545" s="38"/>
      <c r="AP1545" s="38"/>
    </row>
    <row r="1546" spans="9:42" x14ac:dyDescent="0.2">
      <c r="I1546" s="38"/>
      <c r="L1546" s="38"/>
      <c r="O1546" s="38"/>
      <c r="R1546" s="38"/>
      <c r="U1546" s="38"/>
      <c r="X1546" s="38"/>
      <c r="AA1546" s="38"/>
      <c r="AD1546" s="38"/>
      <c r="AG1546" s="38"/>
      <c r="AJ1546" s="38"/>
      <c r="AM1546" s="38"/>
      <c r="AP1546" s="38"/>
    </row>
    <row r="1547" spans="9:42" x14ac:dyDescent="0.2">
      <c r="I1547" s="38"/>
      <c r="L1547" s="38"/>
      <c r="O1547" s="38"/>
      <c r="R1547" s="38"/>
      <c r="U1547" s="38"/>
      <c r="X1547" s="38"/>
      <c r="AA1547" s="38"/>
      <c r="AD1547" s="38"/>
      <c r="AG1547" s="38"/>
      <c r="AJ1547" s="38"/>
      <c r="AM1547" s="38"/>
      <c r="AP1547" s="38"/>
    </row>
    <row r="1548" spans="9:42" x14ac:dyDescent="0.2">
      <c r="I1548" s="38"/>
      <c r="L1548" s="38"/>
      <c r="O1548" s="38"/>
      <c r="R1548" s="38"/>
      <c r="U1548" s="38"/>
      <c r="X1548" s="38"/>
      <c r="AA1548" s="38"/>
      <c r="AD1548" s="38"/>
      <c r="AG1548" s="38"/>
      <c r="AJ1548" s="38"/>
      <c r="AM1548" s="38"/>
      <c r="AP1548" s="38"/>
    </row>
    <row r="1549" spans="9:42" x14ac:dyDescent="0.2">
      <c r="I1549" s="38"/>
      <c r="L1549" s="38"/>
      <c r="O1549" s="38"/>
      <c r="R1549" s="38"/>
      <c r="U1549" s="38"/>
      <c r="X1549" s="38"/>
      <c r="AA1549" s="38"/>
      <c r="AD1549" s="38"/>
      <c r="AG1549" s="38"/>
      <c r="AJ1549" s="38"/>
      <c r="AM1549" s="38"/>
      <c r="AP1549" s="38"/>
    </row>
    <row r="1550" spans="9:42" x14ac:dyDescent="0.2">
      <c r="I1550" s="38"/>
      <c r="L1550" s="38"/>
      <c r="O1550" s="38"/>
      <c r="R1550" s="38"/>
      <c r="U1550" s="38"/>
      <c r="X1550" s="38"/>
      <c r="AA1550" s="38"/>
      <c r="AD1550" s="38"/>
      <c r="AG1550" s="38"/>
      <c r="AJ1550" s="38"/>
      <c r="AM1550" s="38"/>
      <c r="AP1550" s="38"/>
    </row>
    <row r="1551" spans="9:42" x14ac:dyDescent="0.2">
      <c r="I1551" s="38"/>
      <c r="L1551" s="38"/>
      <c r="O1551" s="38"/>
      <c r="R1551" s="38"/>
      <c r="U1551" s="38"/>
      <c r="X1551" s="38"/>
      <c r="AA1551" s="38"/>
      <c r="AD1551" s="38"/>
      <c r="AG1551" s="38"/>
      <c r="AJ1551" s="38"/>
      <c r="AM1551" s="38"/>
      <c r="AP1551" s="38"/>
    </row>
    <row r="1552" spans="9:42" x14ac:dyDescent="0.2">
      <c r="I1552" s="38"/>
      <c r="L1552" s="38"/>
      <c r="O1552" s="38"/>
      <c r="R1552" s="38"/>
      <c r="U1552" s="38"/>
      <c r="X1552" s="38"/>
      <c r="AA1552" s="38"/>
      <c r="AD1552" s="38"/>
      <c r="AG1552" s="38"/>
      <c r="AJ1552" s="38"/>
      <c r="AM1552" s="38"/>
      <c r="AP1552" s="38"/>
    </row>
    <row r="1553" spans="9:42" x14ac:dyDescent="0.2">
      <c r="I1553" s="38"/>
      <c r="L1553" s="38"/>
      <c r="O1553" s="38"/>
      <c r="R1553" s="38"/>
      <c r="U1553" s="38"/>
      <c r="X1553" s="38"/>
      <c r="AA1553" s="38"/>
      <c r="AD1553" s="38"/>
      <c r="AG1553" s="38"/>
      <c r="AJ1553" s="38"/>
      <c r="AM1553" s="38"/>
      <c r="AP1553" s="38"/>
    </row>
    <row r="1554" spans="9:42" x14ac:dyDescent="0.2">
      <c r="I1554" s="38"/>
      <c r="L1554" s="38"/>
      <c r="O1554" s="38"/>
      <c r="R1554" s="38"/>
      <c r="U1554" s="38"/>
      <c r="X1554" s="38"/>
      <c r="AA1554" s="38"/>
      <c r="AD1554" s="38"/>
      <c r="AG1554" s="38"/>
      <c r="AJ1554" s="38"/>
      <c r="AM1554" s="38"/>
      <c r="AP1554" s="38"/>
    </row>
    <row r="1555" spans="9:42" x14ac:dyDescent="0.2">
      <c r="I1555" s="38"/>
      <c r="L1555" s="38"/>
      <c r="O1555" s="38"/>
      <c r="R1555" s="38"/>
      <c r="U1555" s="38"/>
      <c r="X1555" s="38"/>
      <c r="AA1555" s="38"/>
      <c r="AD1555" s="38"/>
      <c r="AG1555" s="38"/>
      <c r="AJ1555" s="38"/>
      <c r="AM1555" s="38"/>
      <c r="AP1555" s="38"/>
    </row>
    <row r="1556" spans="9:42" x14ac:dyDescent="0.2">
      <c r="I1556" s="38"/>
      <c r="L1556" s="38"/>
      <c r="O1556" s="38"/>
      <c r="R1556" s="38"/>
      <c r="U1556" s="38"/>
      <c r="X1556" s="38"/>
      <c r="AA1556" s="38"/>
      <c r="AD1556" s="38"/>
      <c r="AG1556" s="38"/>
      <c r="AJ1556" s="38"/>
      <c r="AM1556" s="38"/>
      <c r="AP1556" s="38"/>
    </row>
    <row r="1557" spans="9:42" x14ac:dyDescent="0.2">
      <c r="I1557" s="38"/>
      <c r="L1557" s="38"/>
      <c r="O1557" s="38"/>
      <c r="R1557" s="38"/>
      <c r="U1557" s="38"/>
      <c r="X1557" s="38"/>
      <c r="AA1557" s="38"/>
      <c r="AD1557" s="38"/>
      <c r="AG1557" s="38"/>
      <c r="AJ1557" s="38"/>
      <c r="AM1557" s="38"/>
      <c r="AP1557" s="38"/>
    </row>
    <row r="1558" spans="9:42" x14ac:dyDescent="0.2">
      <c r="I1558" s="38"/>
      <c r="L1558" s="38"/>
      <c r="O1558" s="38"/>
      <c r="R1558" s="38"/>
      <c r="U1558" s="38"/>
      <c r="X1558" s="38"/>
      <c r="AA1558" s="38"/>
      <c r="AD1558" s="38"/>
      <c r="AG1558" s="38"/>
      <c r="AJ1558" s="38"/>
      <c r="AM1558" s="38"/>
      <c r="AP1558" s="38"/>
    </row>
    <row r="1559" spans="9:42" x14ac:dyDescent="0.2">
      <c r="I1559" s="38"/>
      <c r="L1559" s="38"/>
      <c r="O1559" s="38"/>
      <c r="R1559" s="38"/>
      <c r="U1559" s="38"/>
      <c r="X1559" s="38"/>
      <c r="AA1559" s="38"/>
      <c r="AD1559" s="38"/>
      <c r="AG1559" s="38"/>
      <c r="AJ1559" s="38"/>
      <c r="AM1559" s="38"/>
      <c r="AP1559" s="38"/>
    </row>
    <row r="1560" spans="9:42" x14ac:dyDescent="0.2">
      <c r="I1560" s="38"/>
      <c r="L1560" s="38"/>
      <c r="O1560" s="38"/>
      <c r="R1560" s="38"/>
      <c r="U1560" s="38"/>
      <c r="X1560" s="38"/>
      <c r="AA1560" s="38"/>
      <c r="AD1560" s="38"/>
      <c r="AG1560" s="38"/>
      <c r="AJ1560" s="38"/>
      <c r="AM1560" s="38"/>
      <c r="AP1560" s="38"/>
    </row>
    <row r="1561" spans="9:42" x14ac:dyDescent="0.2">
      <c r="I1561" s="38"/>
      <c r="L1561" s="38"/>
      <c r="O1561" s="38"/>
      <c r="R1561" s="38"/>
      <c r="U1561" s="38"/>
      <c r="X1561" s="38"/>
      <c r="AA1561" s="38"/>
      <c r="AD1561" s="38"/>
      <c r="AG1561" s="38"/>
      <c r="AJ1561" s="38"/>
      <c r="AM1561" s="38"/>
      <c r="AP1561" s="38"/>
    </row>
    <row r="1562" spans="9:42" x14ac:dyDescent="0.2">
      <c r="I1562" s="38"/>
      <c r="L1562" s="38"/>
      <c r="O1562" s="38"/>
      <c r="R1562" s="38"/>
      <c r="U1562" s="38"/>
      <c r="X1562" s="38"/>
      <c r="AA1562" s="38"/>
      <c r="AD1562" s="38"/>
      <c r="AG1562" s="38"/>
      <c r="AJ1562" s="38"/>
      <c r="AM1562" s="38"/>
      <c r="AP1562" s="38"/>
    </row>
    <row r="1563" spans="9:42" x14ac:dyDescent="0.2">
      <c r="I1563" s="38"/>
      <c r="L1563" s="38"/>
      <c r="O1563" s="38"/>
      <c r="R1563" s="38"/>
      <c r="U1563" s="38"/>
      <c r="X1563" s="38"/>
      <c r="AA1563" s="38"/>
      <c r="AD1563" s="38"/>
      <c r="AG1563" s="38"/>
      <c r="AJ1563" s="38"/>
      <c r="AM1563" s="38"/>
      <c r="AP1563" s="38"/>
    </row>
    <row r="1564" spans="9:42" x14ac:dyDescent="0.2">
      <c r="I1564" s="38"/>
      <c r="L1564" s="38"/>
      <c r="O1564" s="38"/>
      <c r="R1564" s="38"/>
      <c r="U1564" s="38"/>
      <c r="X1564" s="38"/>
      <c r="AA1564" s="38"/>
      <c r="AD1564" s="38"/>
      <c r="AG1564" s="38"/>
      <c r="AJ1564" s="38"/>
      <c r="AM1564" s="38"/>
      <c r="AP1564" s="38"/>
    </row>
    <row r="1565" spans="9:42" x14ac:dyDescent="0.2">
      <c r="I1565" s="38"/>
      <c r="L1565" s="38"/>
      <c r="O1565" s="38"/>
      <c r="R1565" s="38"/>
      <c r="U1565" s="38"/>
      <c r="X1565" s="38"/>
      <c r="AA1565" s="38"/>
      <c r="AD1565" s="38"/>
      <c r="AG1565" s="38"/>
      <c r="AJ1565" s="38"/>
      <c r="AM1565" s="38"/>
      <c r="AP1565" s="38"/>
    </row>
    <row r="1566" spans="9:42" x14ac:dyDescent="0.2">
      <c r="I1566" s="38"/>
      <c r="L1566" s="38"/>
      <c r="O1566" s="38"/>
      <c r="R1566" s="38"/>
      <c r="U1566" s="38"/>
      <c r="X1566" s="38"/>
      <c r="AA1566" s="38"/>
      <c r="AD1566" s="38"/>
      <c r="AG1566" s="38"/>
      <c r="AJ1566" s="38"/>
      <c r="AM1566" s="38"/>
      <c r="AP1566" s="38"/>
    </row>
    <row r="1567" spans="9:42" x14ac:dyDescent="0.2">
      <c r="I1567" s="38"/>
      <c r="L1567" s="38"/>
      <c r="O1567" s="38"/>
      <c r="R1567" s="38"/>
      <c r="U1567" s="38"/>
      <c r="X1567" s="38"/>
      <c r="AA1567" s="38"/>
      <c r="AD1567" s="38"/>
      <c r="AG1567" s="38"/>
      <c r="AJ1567" s="38"/>
      <c r="AM1567" s="38"/>
      <c r="AP1567" s="38"/>
    </row>
    <row r="1568" spans="9:42" x14ac:dyDescent="0.2">
      <c r="I1568" s="38"/>
      <c r="L1568" s="38"/>
      <c r="O1568" s="38"/>
      <c r="R1568" s="38"/>
      <c r="U1568" s="38"/>
      <c r="X1568" s="38"/>
      <c r="AA1568" s="38"/>
      <c r="AD1568" s="38"/>
      <c r="AG1568" s="38"/>
      <c r="AJ1568" s="38"/>
      <c r="AM1568" s="38"/>
      <c r="AP1568" s="38"/>
    </row>
    <row r="1569" spans="9:42" x14ac:dyDescent="0.2">
      <c r="I1569" s="38"/>
      <c r="L1569" s="38"/>
      <c r="O1569" s="38"/>
      <c r="R1569" s="38"/>
      <c r="U1569" s="38"/>
      <c r="X1569" s="38"/>
      <c r="AA1569" s="38"/>
      <c r="AD1569" s="38"/>
      <c r="AG1569" s="38"/>
      <c r="AJ1569" s="38"/>
      <c r="AM1569" s="38"/>
      <c r="AP1569" s="38"/>
    </row>
    <row r="1570" spans="9:42" x14ac:dyDescent="0.2">
      <c r="I1570" s="38"/>
      <c r="L1570" s="38"/>
      <c r="O1570" s="38"/>
      <c r="R1570" s="38"/>
      <c r="U1570" s="38"/>
      <c r="X1570" s="38"/>
      <c r="AA1570" s="38"/>
      <c r="AD1570" s="38"/>
      <c r="AG1570" s="38"/>
      <c r="AJ1570" s="38"/>
      <c r="AM1570" s="38"/>
      <c r="AP1570" s="38"/>
    </row>
    <row r="1571" spans="9:42" x14ac:dyDescent="0.2">
      <c r="I1571" s="38"/>
      <c r="L1571" s="38"/>
      <c r="O1571" s="38"/>
      <c r="R1571" s="38"/>
      <c r="U1571" s="38"/>
      <c r="X1571" s="38"/>
      <c r="AA1571" s="38"/>
      <c r="AD1571" s="38"/>
      <c r="AG1571" s="38"/>
      <c r="AJ1571" s="38"/>
      <c r="AM1571" s="38"/>
      <c r="AP1571" s="38"/>
    </row>
    <row r="1572" spans="9:42" x14ac:dyDescent="0.2">
      <c r="I1572" s="38"/>
      <c r="L1572" s="38"/>
      <c r="O1572" s="38"/>
      <c r="R1572" s="38"/>
      <c r="U1572" s="38"/>
      <c r="X1572" s="38"/>
      <c r="AA1572" s="38"/>
      <c r="AD1572" s="38"/>
      <c r="AG1572" s="38"/>
      <c r="AJ1572" s="38"/>
      <c r="AM1572" s="38"/>
      <c r="AP1572" s="38"/>
    </row>
    <row r="1573" spans="9:42" x14ac:dyDescent="0.2">
      <c r="I1573" s="38"/>
      <c r="L1573" s="38"/>
      <c r="O1573" s="38"/>
      <c r="R1573" s="38"/>
      <c r="U1573" s="38"/>
      <c r="X1573" s="38"/>
      <c r="AA1573" s="38"/>
      <c r="AD1573" s="38"/>
      <c r="AG1573" s="38"/>
      <c r="AJ1573" s="38"/>
      <c r="AM1573" s="38"/>
      <c r="AP1573" s="38"/>
    </row>
    <row r="1574" spans="9:42" x14ac:dyDescent="0.2">
      <c r="I1574" s="38"/>
      <c r="L1574" s="38"/>
      <c r="O1574" s="38"/>
      <c r="R1574" s="38"/>
      <c r="U1574" s="38"/>
      <c r="X1574" s="38"/>
      <c r="AA1574" s="38"/>
      <c r="AD1574" s="38"/>
      <c r="AG1574" s="38"/>
      <c r="AJ1574" s="38"/>
      <c r="AM1574" s="38"/>
      <c r="AP1574" s="38"/>
    </row>
    <row r="1575" spans="9:42" x14ac:dyDescent="0.2">
      <c r="I1575" s="38"/>
      <c r="L1575" s="38"/>
      <c r="O1575" s="38"/>
      <c r="R1575" s="38"/>
      <c r="U1575" s="38"/>
      <c r="X1575" s="38"/>
      <c r="AA1575" s="38"/>
      <c r="AD1575" s="38"/>
      <c r="AG1575" s="38"/>
      <c r="AJ1575" s="38"/>
      <c r="AM1575" s="38"/>
      <c r="AP1575" s="38"/>
    </row>
    <row r="1576" spans="9:42" x14ac:dyDescent="0.2">
      <c r="I1576" s="38"/>
      <c r="L1576" s="38"/>
      <c r="O1576" s="38"/>
      <c r="R1576" s="38"/>
      <c r="U1576" s="38"/>
      <c r="X1576" s="38"/>
      <c r="AA1576" s="38"/>
      <c r="AD1576" s="38"/>
      <c r="AG1576" s="38"/>
      <c r="AJ1576" s="38"/>
      <c r="AM1576" s="38"/>
      <c r="AP1576" s="38"/>
    </row>
    <row r="1577" spans="9:42" x14ac:dyDescent="0.2">
      <c r="I1577" s="38"/>
      <c r="L1577" s="38"/>
      <c r="O1577" s="38"/>
      <c r="R1577" s="38"/>
      <c r="U1577" s="38"/>
      <c r="X1577" s="38"/>
      <c r="AA1577" s="38"/>
      <c r="AD1577" s="38"/>
      <c r="AG1577" s="38"/>
      <c r="AJ1577" s="38"/>
      <c r="AM1577" s="38"/>
      <c r="AP1577" s="38"/>
    </row>
    <row r="1578" spans="9:42" x14ac:dyDescent="0.2">
      <c r="I1578" s="38"/>
      <c r="L1578" s="38"/>
      <c r="O1578" s="38"/>
      <c r="R1578" s="38"/>
      <c r="U1578" s="38"/>
      <c r="X1578" s="38"/>
      <c r="AA1578" s="38"/>
      <c r="AD1578" s="38"/>
      <c r="AG1578" s="38"/>
      <c r="AJ1578" s="38"/>
      <c r="AM1578" s="38"/>
      <c r="AP1578" s="38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532F-A33B-4C46-ADBC-2CCD0F268543}">
  <dimension ref="A1:AP36"/>
  <sheetViews>
    <sheetView topLeftCell="A3" zoomScaleNormal="100" workbookViewId="0">
      <selection activeCell="F16" sqref="F16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2.28515625" style="39" bestFit="1" customWidth="1"/>
    <col min="4" max="4" width="10.28515625" style="12" customWidth="1"/>
    <col min="5" max="5" width="11.5703125" style="13" bestFit="1" customWidth="1"/>
    <col min="6" max="6" width="10.5703125" style="13" customWidth="1"/>
    <col min="7" max="7" width="11" style="13" bestFit="1" customWidth="1"/>
    <col min="8" max="8" width="10" style="10" bestFit="1" customWidth="1"/>
    <col min="9" max="9" width="9.5703125" style="10" bestFit="1" customWidth="1"/>
    <col min="10" max="16384" width="9.28515625" style="10"/>
  </cols>
  <sheetData>
    <row r="1" spans="1:42" ht="13.5" thickBot="1" x14ac:dyDescent="0.25">
      <c r="B1" s="10"/>
      <c r="C1" s="11"/>
    </row>
    <row r="2" spans="1:42" ht="13.5" thickTop="1" x14ac:dyDescent="0.2">
      <c r="A2" s="17"/>
      <c r="B2" s="1" t="str">
        <f>Inputs!B2</f>
        <v>Recruiter Name:</v>
      </c>
      <c r="C2" s="2" t="str">
        <f>Inputs!C2</f>
        <v>Vince Brindisi</v>
      </c>
      <c r="E2" s="12"/>
      <c r="F2" s="39"/>
      <c r="I2" s="14"/>
      <c r="J2" s="38"/>
      <c r="L2" s="14"/>
      <c r="M2" s="38"/>
      <c r="O2" s="38"/>
      <c r="Q2" s="14"/>
      <c r="R2" s="38"/>
      <c r="T2" s="16"/>
      <c r="U2" s="38"/>
      <c r="W2" s="16"/>
      <c r="X2" s="38"/>
      <c r="Z2" s="16"/>
      <c r="AA2" s="38"/>
      <c r="AC2" s="16"/>
      <c r="AD2" s="38"/>
      <c r="AF2" s="16"/>
      <c r="AG2" s="38"/>
      <c r="AI2" s="16"/>
      <c r="AJ2" s="38"/>
      <c r="AL2" s="16"/>
      <c r="AM2" s="38"/>
      <c r="AO2" s="16"/>
      <c r="AP2" s="38"/>
    </row>
    <row r="3" spans="1:42" x14ac:dyDescent="0.2">
      <c r="A3" s="18"/>
      <c r="B3" s="3" t="str">
        <f>Inputs!B3</f>
        <v>Initials:</v>
      </c>
      <c r="C3" s="107" t="str">
        <f>Inputs!C3</f>
        <v>VB</v>
      </c>
      <c r="E3" s="12"/>
      <c r="F3" s="39"/>
      <c r="I3" s="14"/>
      <c r="J3" s="38"/>
      <c r="L3" s="14"/>
      <c r="M3" s="38"/>
      <c r="O3" s="38"/>
      <c r="Q3" s="14"/>
      <c r="R3" s="38"/>
      <c r="T3" s="16"/>
      <c r="U3" s="38"/>
      <c r="W3" s="16"/>
      <c r="X3" s="38"/>
      <c r="Z3" s="16"/>
      <c r="AA3" s="38"/>
      <c r="AC3" s="16"/>
      <c r="AD3" s="38"/>
      <c r="AF3" s="16"/>
      <c r="AG3" s="38"/>
      <c r="AI3" s="16"/>
      <c r="AJ3" s="38"/>
      <c r="AL3" s="16"/>
      <c r="AM3" s="38"/>
      <c r="AO3" s="16"/>
      <c r="AP3" s="38"/>
    </row>
    <row r="4" spans="1:42" x14ac:dyDescent="0.2">
      <c r="A4" s="18"/>
      <c r="B4" s="3" t="str">
        <f>Inputs!B4</f>
        <v>Draw Balance:</v>
      </c>
      <c r="C4" s="129">
        <f>Inputs!C4</f>
        <v>-25297.93</v>
      </c>
      <c r="E4" s="12"/>
      <c r="F4" s="39"/>
      <c r="I4" s="14"/>
      <c r="J4" s="38"/>
      <c r="L4" s="14"/>
      <c r="M4" s="38"/>
      <c r="O4" s="38"/>
      <c r="Q4" s="14"/>
      <c r="R4" s="38"/>
      <c r="T4" s="16"/>
      <c r="U4" s="38"/>
      <c r="W4" s="16"/>
      <c r="X4" s="38"/>
      <c r="Z4" s="16"/>
      <c r="AA4" s="38"/>
      <c r="AC4" s="16"/>
      <c r="AD4" s="38"/>
      <c r="AF4" s="16"/>
      <c r="AG4" s="38"/>
      <c r="AI4" s="16"/>
      <c r="AJ4" s="38"/>
      <c r="AL4" s="16"/>
      <c r="AM4" s="38"/>
      <c r="AO4" s="16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38"/>
      <c r="Q5" s="14"/>
      <c r="R5" s="38"/>
      <c r="T5" s="16"/>
      <c r="U5" s="38"/>
      <c r="W5" s="16"/>
      <c r="X5" s="38"/>
      <c r="Z5" s="16"/>
      <c r="AA5" s="38"/>
      <c r="AC5" s="16"/>
      <c r="AD5" s="38"/>
      <c r="AF5" s="16"/>
      <c r="AG5" s="38"/>
      <c r="AI5" s="16"/>
      <c r="AJ5" s="38"/>
      <c r="AL5" s="16"/>
      <c r="AM5" s="38"/>
      <c r="AO5" s="16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38"/>
      <c r="Q6" s="14"/>
      <c r="R6" s="38"/>
      <c r="T6" s="16"/>
      <c r="U6" s="38"/>
      <c r="W6" s="16"/>
      <c r="X6" s="38"/>
      <c r="Z6" s="16"/>
      <c r="AA6" s="38"/>
      <c r="AC6" s="16"/>
      <c r="AD6" s="38"/>
      <c r="AF6" s="16"/>
      <c r="AG6" s="38"/>
      <c r="AI6" s="16"/>
      <c r="AJ6" s="38"/>
      <c r="AL6" s="16"/>
      <c r="AM6" s="38"/>
      <c r="AO6" s="16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38"/>
      <c r="Q7" s="14"/>
      <c r="R7" s="38"/>
      <c r="T7" s="16"/>
      <c r="U7" s="38"/>
      <c r="W7" s="16"/>
      <c r="X7" s="38"/>
      <c r="Z7" s="16"/>
      <c r="AA7" s="38"/>
      <c r="AC7" s="16"/>
      <c r="AD7" s="38"/>
      <c r="AF7" s="16"/>
      <c r="AG7" s="38"/>
      <c r="AI7" s="16"/>
      <c r="AJ7" s="38"/>
      <c r="AL7" s="16"/>
      <c r="AM7" s="38"/>
      <c r="AO7" s="16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97206.25</v>
      </c>
      <c r="E8" s="12"/>
      <c r="F8" s="39"/>
      <c r="I8" s="14"/>
      <c r="J8" s="38"/>
      <c r="L8" s="14"/>
      <c r="M8" s="38"/>
      <c r="O8" s="38"/>
      <c r="Q8" s="14"/>
      <c r="R8" s="38"/>
      <c r="T8" s="16"/>
      <c r="U8" s="38"/>
      <c r="W8" s="16"/>
      <c r="X8" s="38"/>
      <c r="Z8" s="16"/>
      <c r="AA8" s="38"/>
      <c r="AC8" s="16"/>
      <c r="AD8" s="38"/>
      <c r="AF8" s="16"/>
      <c r="AG8" s="38"/>
      <c r="AI8" s="16"/>
      <c r="AJ8" s="38"/>
      <c r="AL8" s="16"/>
      <c r="AM8" s="38"/>
      <c r="AO8" s="16"/>
      <c r="AP8" s="38"/>
    </row>
    <row r="9" spans="1:42" x14ac:dyDescent="0.2">
      <c r="A9" s="18"/>
      <c r="B9" s="3" t="str">
        <f>Inputs!B10</f>
        <v>YTD Staffing GM:</v>
      </c>
      <c r="C9" s="5">
        <f>Inputs!C10</f>
        <v>19028</v>
      </c>
      <c r="E9" s="12"/>
      <c r="F9" s="39"/>
      <c r="I9" s="14"/>
      <c r="J9" s="38"/>
      <c r="L9" s="14"/>
      <c r="M9" s="38"/>
      <c r="O9" s="38"/>
      <c r="Q9" s="14"/>
      <c r="R9" s="38"/>
      <c r="T9" s="16"/>
      <c r="U9" s="38"/>
      <c r="W9" s="16"/>
      <c r="X9" s="38"/>
      <c r="Z9" s="16"/>
      <c r="AA9" s="38"/>
      <c r="AC9" s="16"/>
      <c r="AD9" s="38"/>
      <c r="AF9" s="16"/>
      <c r="AG9" s="38"/>
      <c r="AI9" s="16"/>
      <c r="AJ9" s="38"/>
      <c r="AL9" s="16"/>
      <c r="AM9" s="38"/>
      <c r="AO9" s="16"/>
      <c r="AP9" s="38"/>
    </row>
    <row r="10" spans="1:42" x14ac:dyDescent="0.2">
      <c r="A10" s="18"/>
      <c r="B10" s="3" t="str">
        <f>Inputs!B11</f>
        <v>YTD Cash-In:</v>
      </c>
      <c r="C10" s="5">
        <f>Inputs!C11</f>
        <v>43768.75</v>
      </c>
      <c r="E10" s="12"/>
      <c r="F10" s="39"/>
      <c r="I10" s="14"/>
      <c r="J10" s="38"/>
      <c r="L10" s="14"/>
      <c r="M10" s="38"/>
      <c r="O10" s="38"/>
      <c r="Q10" s="14"/>
      <c r="R10" s="38"/>
      <c r="T10" s="16"/>
      <c r="U10" s="38"/>
      <c r="W10" s="16"/>
      <c r="X10" s="38"/>
      <c r="Z10" s="16"/>
      <c r="AA10" s="38"/>
      <c r="AC10" s="16"/>
      <c r="AD10" s="38"/>
      <c r="AF10" s="16"/>
      <c r="AG10" s="38"/>
      <c r="AI10" s="16"/>
      <c r="AJ10" s="38"/>
      <c r="AL10" s="16"/>
      <c r="AM10" s="38"/>
      <c r="AO10" s="16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25118.7</v>
      </c>
      <c r="E11" s="12"/>
      <c r="F11" s="39"/>
      <c r="I11" s="14"/>
      <c r="J11" s="38"/>
      <c r="L11" s="14"/>
      <c r="M11" s="38"/>
      <c r="O11" s="38"/>
      <c r="Q11" s="14"/>
      <c r="R11" s="38"/>
      <c r="T11" s="16"/>
      <c r="U11" s="38"/>
      <c r="W11" s="16"/>
      <c r="X11" s="38"/>
      <c r="Z11" s="16"/>
      <c r="AA11" s="38"/>
      <c r="AC11" s="16"/>
      <c r="AD11" s="38"/>
      <c r="AF11" s="16"/>
      <c r="AG11" s="38"/>
      <c r="AI11" s="16"/>
      <c r="AJ11" s="38"/>
      <c r="AL11" s="16"/>
      <c r="AM11" s="38"/>
      <c r="AO11" s="16"/>
      <c r="AP11" s="38"/>
    </row>
    <row r="12" spans="1:42" ht="15.75" customHeight="1" thickTop="1" thickBot="1" x14ac:dyDescent="0.25">
      <c r="B12" s="8"/>
      <c r="C12" s="105"/>
      <c r="D12" s="9"/>
    </row>
    <row r="13" spans="1:42" s="24" customFormat="1" x14ac:dyDescent="0.2">
      <c r="A13" s="20"/>
      <c r="B13" s="21" t="s">
        <v>14</v>
      </c>
      <c r="C13" s="68"/>
      <c r="D13" s="22"/>
      <c r="E13" s="154" t="s">
        <v>78</v>
      </c>
      <c r="F13" s="158"/>
      <c r="G13" s="159"/>
    </row>
    <row r="14" spans="1:42" s="24" customFormat="1" x14ac:dyDescent="0.2">
      <c r="A14" s="171"/>
      <c r="B14" s="25"/>
      <c r="C14" s="69" t="s">
        <v>78</v>
      </c>
      <c r="D14" s="26" t="s">
        <v>79</v>
      </c>
      <c r="E14" s="155" t="s">
        <v>80</v>
      </c>
      <c r="F14" s="160" t="s">
        <v>81</v>
      </c>
      <c r="G14" s="161" t="s">
        <v>80</v>
      </c>
    </row>
    <row r="15" spans="1:42" s="24" customFormat="1" x14ac:dyDescent="0.2">
      <c r="A15" s="29" t="s">
        <v>82</v>
      </c>
      <c r="B15" s="30" t="s">
        <v>83</v>
      </c>
      <c r="C15" s="70" t="s">
        <v>84</v>
      </c>
      <c r="D15" s="31" t="s">
        <v>85</v>
      </c>
      <c r="E15" s="156" t="s">
        <v>86</v>
      </c>
      <c r="F15" s="163" t="s">
        <v>87</v>
      </c>
      <c r="G15" s="164" t="s">
        <v>42</v>
      </c>
    </row>
    <row r="16" spans="1:42" s="38" customFormat="1" x14ac:dyDescent="0.2">
      <c r="A16" s="172" t="s">
        <v>88</v>
      </c>
      <c r="B16" s="259">
        <f>+Totals!H81</f>
        <v>14625</v>
      </c>
      <c r="C16" s="71">
        <f>B16</f>
        <v>14625</v>
      </c>
      <c r="D16" s="36">
        <v>0.4</v>
      </c>
      <c r="E16" s="157">
        <f>+B16*D16</f>
        <v>5850</v>
      </c>
      <c r="F16" s="216">
        <f>+'Payroll Rec'!E36-'Staffing Comm Calc'!F16</f>
        <v>-5850</v>
      </c>
      <c r="G16" s="162">
        <f>+E16+F16</f>
        <v>0</v>
      </c>
      <c r="I16" s="218"/>
    </row>
    <row r="17" spans="1:10" s="38" customFormat="1" x14ac:dyDescent="0.2">
      <c r="A17" s="172" t="s">
        <v>89</v>
      </c>
      <c r="B17" s="259">
        <f>Totals!K$78</f>
        <v>8425</v>
      </c>
      <c r="C17" s="71">
        <f t="shared" ref="C17:C27" si="0">C16+B17</f>
        <v>23050</v>
      </c>
      <c r="D17" s="36">
        <v>0.4</v>
      </c>
      <c r="E17" s="157">
        <f t="shared" ref="E17:E26" si="1">+B17*D17</f>
        <v>3370</v>
      </c>
      <c r="F17" s="242">
        <f>+'Payroll Rec'!G36-'Staffing Comm Calc'!F17</f>
        <v>-3370</v>
      </c>
      <c r="G17" s="162">
        <f t="shared" ref="G17:G22" si="2">+E17+F17</f>
        <v>0</v>
      </c>
    </row>
    <row r="18" spans="1:10" s="38" customFormat="1" x14ac:dyDescent="0.2">
      <c r="A18" s="172" t="s">
        <v>90</v>
      </c>
      <c r="B18" s="259">
        <f>Totals!N$78</f>
        <v>0</v>
      </c>
      <c r="C18" s="71">
        <f t="shared" si="0"/>
        <v>23050</v>
      </c>
      <c r="D18" s="36">
        <v>0.4</v>
      </c>
      <c r="E18" s="157">
        <f t="shared" si="1"/>
        <v>0</v>
      </c>
      <c r="F18" s="216">
        <f>'Payroll Rec'!I36-'Staffing Comm Calc'!F18</f>
        <v>0</v>
      </c>
      <c r="G18" s="162">
        <f t="shared" si="2"/>
        <v>0</v>
      </c>
    </row>
    <row r="19" spans="1:10" s="38" customFormat="1" x14ac:dyDescent="0.2">
      <c r="A19" s="172" t="s">
        <v>49</v>
      </c>
      <c r="B19" s="259">
        <f>Totals!Q$78</f>
        <v>0</v>
      </c>
      <c r="C19" s="71">
        <f t="shared" si="0"/>
        <v>23050</v>
      </c>
      <c r="D19" s="36">
        <v>0.4</v>
      </c>
      <c r="E19" s="157">
        <f t="shared" si="1"/>
        <v>0</v>
      </c>
      <c r="F19" s="216">
        <f>+'Payroll Rec'!K36-'Staffing Comm Calc'!F19</f>
        <v>0</v>
      </c>
      <c r="G19" s="162">
        <f t="shared" si="2"/>
        <v>0</v>
      </c>
    </row>
    <row r="20" spans="1:10" s="38" customFormat="1" x14ac:dyDescent="0.2">
      <c r="A20" s="172" t="s">
        <v>51</v>
      </c>
      <c r="B20" s="260">
        <f>Totals!T$78</f>
        <v>20718.75</v>
      </c>
      <c r="C20" s="71">
        <f t="shared" si="0"/>
        <v>43768.75</v>
      </c>
      <c r="D20" s="36">
        <v>0.4</v>
      </c>
      <c r="E20" s="157">
        <f t="shared" si="1"/>
        <v>8287.5</v>
      </c>
      <c r="F20" s="229">
        <f>+'Payroll Rec'!M36-'Staffing Comm Calc'!F20</f>
        <v>-8287.5</v>
      </c>
      <c r="G20" s="230">
        <f t="shared" si="2"/>
        <v>0</v>
      </c>
    </row>
    <row r="21" spans="1:10" s="38" customFormat="1" x14ac:dyDescent="0.2">
      <c r="A21" s="172" t="s">
        <v>53</v>
      </c>
      <c r="B21" s="259">
        <f>Totals!W$78</f>
        <v>0</v>
      </c>
      <c r="C21" s="71">
        <f t="shared" si="0"/>
        <v>43768.75</v>
      </c>
      <c r="D21" s="36">
        <v>0.4</v>
      </c>
      <c r="E21" s="157">
        <f t="shared" si="1"/>
        <v>0</v>
      </c>
      <c r="F21" s="229"/>
      <c r="G21" s="162">
        <f t="shared" si="2"/>
        <v>0</v>
      </c>
    </row>
    <row r="22" spans="1:10" s="38" customFormat="1" x14ac:dyDescent="0.2">
      <c r="A22" s="172" t="s">
        <v>55</v>
      </c>
      <c r="B22" s="259">
        <f>Totals!Z$78</f>
        <v>0</v>
      </c>
      <c r="C22" s="71">
        <f t="shared" si="0"/>
        <v>43768.75</v>
      </c>
      <c r="D22" s="36">
        <v>0.4</v>
      </c>
      <c r="E22" s="157">
        <f>+B22*D22</f>
        <v>0</v>
      </c>
      <c r="F22" s="216">
        <f>+'Payroll Rec'!Q36-'Staffing Comm Calc'!F22</f>
        <v>0</v>
      </c>
      <c r="G22" s="162">
        <f t="shared" si="2"/>
        <v>0</v>
      </c>
    </row>
    <row r="23" spans="1:10" s="38" customFormat="1" x14ac:dyDescent="0.2">
      <c r="A23" s="172" t="s">
        <v>57</v>
      </c>
      <c r="B23" s="259">
        <f>Totals!AC$78</f>
        <v>0</v>
      </c>
      <c r="C23" s="71">
        <f t="shared" si="0"/>
        <v>43768.75</v>
      </c>
      <c r="D23" s="36">
        <v>0.4</v>
      </c>
      <c r="E23" s="157">
        <f t="shared" si="1"/>
        <v>0</v>
      </c>
      <c r="F23" s="216">
        <f>'Payroll Rec'!S36-'Staffing Comm Calc'!F23</f>
        <v>0</v>
      </c>
      <c r="G23" s="162">
        <f>+E23+F23</f>
        <v>0</v>
      </c>
    </row>
    <row r="24" spans="1:10" s="38" customFormat="1" x14ac:dyDescent="0.2">
      <c r="A24" s="172" t="s">
        <v>91</v>
      </c>
      <c r="B24" s="259">
        <f>Totals!AF$78</f>
        <v>0</v>
      </c>
      <c r="C24" s="71">
        <f t="shared" si="0"/>
        <v>43768.75</v>
      </c>
      <c r="D24" s="36">
        <v>0.4</v>
      </c>
      <c r="E24" s="157">
        <f t="shared" si="1"/>
        <v>0</v>
      </c>
      <c r="F24" s="216">
        <f>+'Payroll Rec'!U36+-'Staffing Comm Calc'!F24</f>
        <v>0</v>
      </c>
      <c r="G24" s="162">
        <f>+E24+F24</f>
        <v>0</v>
      </c>
    </row>
    <row r="25" spans="1:10" s="38" customFormat="1" x14ac:dyDescent="0.2">
      <c r="A25" s="172" t="s">
        <v>92</v>
      </c>
      <c r="B25" s="260">
        <f>Totals!AI$78</f>
        <v>0</v>
      </c>
      <c r="C25" s="71">
        <f t="shared" si="0"/>
        <v>43768.75</v>
      </c>
      <c r="D25" s="36">
        <v>0.4</v>
      </c>
      <c r="E25" s="157">
        <f t="shared" si="1"/>
        <v>0</v>
      </c>
      <c r="F25" s="229">
        <f>+'Payroll Rec'!W36-'Staffing Comm Calc'!F25</f>
        <v>0</v>
      </c>
      <c r="G25" s="230">
        <f>+E25+F25</f>
        <v>0</v>
      </c>
    </row>
    <row r="26" spans="1:10" s="38" customFormat="1" x14ac:dyDescent="0.2">
      <c r="A26" s="172" t="s">
        <v>93</v>
      </c>
      <c r="B26" s="260">
        <f>Totals!AL$78</f>
        <v>0</v>
      </c>
      <c r="C26" s="71">
        <f t="shared" si="0"/>
        <v>43768.75</v>
      </c>
      <c r="D26" s="36">
        <v>0.4</v>
      </c>
      <c r="E26" s="157">
        <f t="shared" si="1"/>
        <v>0</v>
      </c>
      <c r="F26" s="229"/>
      <c r="G26" s="230">
        <f>+E26+F26</f>
        <v>0</v>
      </c>
    </row>
    <row r="27" spans="1:10" s="38" customFormat="1" x14ac:dyDescent="0.2">
      <c r="A27" s="172" t="s">
        <v>94</v>
      </c>
      <c r="B27" s="261">
        <f>Totals!AO$78</f>
        <v>0</v>
      </c>
      <c r="C27" s="71">
        <f t="shared" si="0"/>
        <v>43768.75</v>
      </c>
      <c r="D27" s="36">
        <v>0.4</v>
      </c>
      <c r="E27" s="157">
        <f>+B27*D27</f>
        <v>0</v>
      </c>
      <c r="F27" s="217"/>
      <c r="G27" s="215">
        <f>+E27+F27</f>
        <v>0</v>
      </c>
      <c r="H27" s="219"/>
      <c r="J27" s="218"/>
    </row>
    <row r="28" spans="1:10" x14ac:dyDescent="0.2">
      <c r="A28" s="47" t="s">
        <v>95</v>
      </c>
      <c r="B28" s="262">
        <f>SUM(B16:B27)</f>
        <v>43768.75</v>
      </c>
      <c r="E28" s="166">
        <f>SUM(E16:E27)</f>
        <v>17507.5</v>
      </c>
      <c r="F28" s="46" t="s">
        <v>96</v>
      </c>
      <c r="G28" s="222">
        <f>SUM(G16:G27)</f>
        <v>0</v>
      </c>
    </row>
    <row r="29" spans="1:10" x14ac:dyDescent="0.2">
      <c r="A29" s="47"/>
      <c r="B29" s="98"/>
      <c r="E29" s="153"/>
      <c r="F29" s="46"/>
      <c r="G29" s="46"/>
    </row>
    <row r="30" spans="1:10" ht="12" customHeight="1" x14ac:dyDescent="0.2">
      <c r="E30" s="131"/>
      <c r="F30" s="46"/>
      <c r="G30" s="46"/>
    </row>
    <row r="31" spans="1:10" x14ac:dyDescent="0.2">
      <c r="E31" s="131"/>
      <c r="G31" s="46"/>
    </row>
    <row r="32" spans="1:10" x14ac:dyDescent="0.2">
      <c r="E32" s="153"/>
    </row>
    <row r="33" spans="5:6" x14ac:dyDescent="0.2">
      <c r="E33" s="131"/>
    </row>
    <row r="34" spans="5:6" x14ac:dyDescent="0.2">
      <c r="E34" s="10"/>
      <c r="F34" s="10"/>
    </row>
    <row r="35" spans="5:6" x14ac:dyDescent="0.2">
      <c r="E35" s="131"/>
    </row>
    <row r="36" spans="5:6" x14ac:dyDescent="0.2">
      <c r="F36" s="165"/>
    </row>
  </sheetData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FAB7-60FF-4018-970D-A83B4F4B4E77}">
  <dimension ref="A1:AQ33"/>
  <sheetViews>
    <sheetView topLeftCell="A3" workbookViewId="0">
      <selection activeCell="B20" sqref="B20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7.5703125" style="39" bestFit="1" customWidth="1"/>
    <col min="4" max="4" width="11.85546875" style="12" bestFit="1" customWidth="1"/>
    <col min="5" max="5" width="11.5703125" style="13" bestFit="1" customWidth="1"/>
    <col min="6" max="6" width="10.42578125" style="13" bestFit="1" customWidth="1"/>
    <col min="7" max="7" width="10.7109375" style="13" bestFit="1" customWidth="1"/>
    <col min="8" max="8" width="12.7109375" style="10" customWidth="1"/>
    <col min="9" max="9" width="11.7109375" style="10" customWidth="1"/>
    <col min="10" max="16384" width="9.28515625" style="10"/>
  </cols>
  <sheetData>
    <row r="1" spans="1:43" ht="13.5" thickBot="1" x14ac:dyDescent="0.25">
      <c r="B1" s="10"/>
      <c r="C1" s="11"/>
    </row>
    <row r="2" spans="1:43" ht="13.5" thickTop="1" x14ac:dyDescent="0.2">
      <c r="A2" s="17"/>
      <c r="B2" s="1" t="str">
        <f>Inputs!B2</f>
        <v>Recruiter Name:</v>
      </c>
      <c r="C2" s="2" t="str">
        <f>Inputs!C2</f>
        <v>Vince Brindisi</v>
      </c>
      <c r="E2" s="12"/>
      <c r="F2" s="39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3" t="str">
        <f>Inputs!B3</f>
        <v>Initials:</v>
      </c>
      <c r="C3" s="107" t="str">
        <f>Inputs!C3</f>
        <v>VB</v>
      </c>
      <c r="E3" s="12"/>
      <c r="F3" s="39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3" t="str">
        <f>Inputs!B4</f>
        <v>Draw Balance:</v>
      </c>
      <c r="C4" s="129">
        <f>+Inputs!C4</f>
        <v>-25297.93</v>
      </c>
      <c r="E4" s="12"/>
      <c r="F4" s="39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6"/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3" t="str">
        <f>Inputs!B8</f>
        <v>YTD Direct Hire Billings:</v>
      </c>
      <c r="C8" s="5">
        <f>Inputs!C8</f>
        <v>97206.25</v>
      </c>
      <c r="E8" s="12"/>
      <c r="F8" s="39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3" t="str">
        <f>Inputs!B10</f>
        <v>YTD Staffing GM:</v>
      </c>
      <c r="C9" s="5">
        <f>Inputs!C10</f>
        <v>19028</v>
      </c>
      <c r="E9" s="12"/>
      <c r="F9" s="39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3" t="str">
        <f>Inputs!B11</f>
        <v>YTD Cash-In:</v>
      </c>
      <c r="C10" s="5">
        <f>Inputs!C11</f>
        <v>43768.75</v>
      </c>
      <c r="E10" s="12"/>
      <c r="F10" s="39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6" t="str">
        <f>Inputs!B12</f>
        <v>YTD Commissions Earned:</v>
      </c>
      <c r="C11" s="7">
        <f>Inputs!C12</f>
        <v>25118.7</v>
      </c>
      <c r="E11" s="12"/>
      <c r="F11" s="39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5.75" customHeight="1" thickTop="1" thickBot="1" x14ac:dyDescent="0.25">
      <c r="B12" s="8"/>
      <c r="C12" s="105"/>
      <c r="D12" s="9"/>
      <c r="F12" s="10"/>
      <c r="G12" s="10"/>
    </row>
    <row r="13" spans="1:43" s="24" customFormat="1" x14ac:dyDescent="0.2">
      <c r="A13" s="21"/>
      <c r="B13" s="21" t="s">
        <v>14</v>
      </c>
      <c r="C13" s="68"/>
      <c r="D13" s="22"/>
      <c r="E13" s="154" t="s">
        <v>78</v>
      </c>
      <c r="F13" s="167"/>
      <c r="G13" s="167"/>
    </row>
    <row r="14" spans="1:43" s="24" customFormat="1" x14ac:dyDescent="0.2">
      <c r="A14" s="25"/>
      <c r="B14" s="25"/>
      <c r="C14" s="69"/>
      <c r="D14" s="26" t="s">
        <v>79</v>
      </c>
      <c r="E14" s="155" t="s">
        <v>97</v>
      </c>
      <c r="F14" s="167" t="s">
        <v>81</v>
      </c>
      <c r="G14" s="167" t="s">
        <v>80</v>
      </c>
    </row>
    <row r="15" spans="1:43" s="24" customFormat="1" x14ac:dyDescent="0.2">
      <c r="A15" s="30" t="s">
        <v>82</v>
      </c>
      <c r="B15" s="30" t="s">
        <v>98</v>
      </c>
      <c r="C15" s="30" t="s">
        <v>98</v>
      </c>
      <c r="D15" s="31" t="s">
        <v>85</v>
      </c>
      <c r="E15" s="156" t="s">
        <v>86</v>
      </c>
      <c r="F15" s="167" t="s">
        <v>87</v>
      </c>
      <c r="G15" s="167" t="s">
        <v>42</v>
      </c>
    </row>
    <row r="16" spans="1:43" s="38" customFormat="1" x14ac:dyDescent="0.2">
      <c r="A16" s="96" t="s">
        <v>88</v>
      </c>
      <c r="B16" s="34">
        <v>3180</v>
      </c>
      <c r="C16" s="71">
        <f t="shared" ref="C16:C27" si="0">B16</f>
        <v>3180</v>
      </c>
      <c r="D16" s="128">
        <v>0.4</v>
      </c>
      <c r="E16" s="221">
        <f>+C16*D16</f>
        <v>1272</v>
      </c>
      <c r="F16" s="168">
        <f t="shared" ref="F16:F22" si="1">-E16</f>
        <v>-1272</v>
      </c>
      <c r="G16" s="220">
        <f t="shared" ref="G16:G27" si="2">+E16+F16</f>
        <v>0</v>
      </c>
    </row>
    <row r="17" spans="1:9" s="38" customFormat="1" x14ac:dyDescent="0.2">
      <c r="A17" s="96" t="s">
        <v>89</v>
      </c>
      <c r="B17" s="34">
        <f>848+I33</f>
        <v>15848</v>
      </c>
      <c r="C17" s="71">
        <f t="shared" si="0"/>
        <v>15848</v>
      </c>
      <c r="D17" s="128">
        <v>0.4</v>
      </c>
      <c r="E17" s="221">
        <f t="shared" ref="E17:E27" si="3">+C17*D17</f>
        <v>6339.2000000000007</v>
      </c>
      <c r="F17" s="168">
        <f t="shared" si="1"/>
        <v>-6339.2000000000007</v>
      </c>
      <c r="G17" s="173">
        <f t="shared" si="2"/>
        <v>0</v>
      </c>
    </row>
    <row r="18" spans="1:9" s="38" customFormat="1" x14ac:dyDescent="0.2">
      <c r="A18" s="96" t="s">
        <v>90</v>
      </c>
      <c r="B18" s="34">
        <v>0</v>
      </c>
      <c r="C18" s="71">
        <f t="shared" si="0"/>
        <v>0</v>
      </c>
      <c r="D18" s="128">
        <v>0.4</v>
      </c>
      <c r="E18" s="221">
        <f t="shared" si="3"/>
        <v>0</v>
      </c>
      <c r="F18" s="168">
        <f t="shared" si="1"/>
        <v>0</v>
      </c>
      <c r="G18" s="169">
        <f t="shared" si="2"/>
        <v>0</v>
      </c>
    </row>
    <row r="19" spans="1:9" s="38" customFormat="1" x14ac:dyDescent="0.2">
      <c r="A19" s="96" t="s">
        <v>49</v>
      </c>
      <c r="B19" s="34">
        <v>0</v>
      </c>
      <c r="C19" s="71">
        <f t="shared" si="0"/>
        <v>0</v>
      </c>
      <c r="D19" s="128">
        <v>0.4</v>
      </c>
      <c r="E19" s="221">
        <f t="shared" si="3"/>
        <v>0</v>
      </c>
      <c r="F19" s="168">
        <f t="shared" si="1"/>
        <v>0</v>
      </c>
      <c r="G19" s="169">
        <f t="shared" si="2"/>
        <v>0</v>
      </c>
    </row>
    <row r="20" spans="1:9" s="38" customFormat="1" x14ac:dyDescent="0.2">
      <c r="A20" s="96" t="s">
        <v>51</v>
      </c>
      <c r="B20" s="34"/>
      <c r="C20" s="71">
        <f t="shared" si="0"/>
        <v>0</v>
      </c>
      <c r="D20" s="128">
        <v>0.4</v>
      </c>
      <c r="E20" s="221">
        <f t="shared" si="3"/>
        <v>0</v>
      </c>
      <c r="F20" s="168">
        <f t="shared" si="1"/>
        <v>0</v>
      </c>
      <c r="G20" s="169">
        <f t="shared" si="2"/>
        <v>0</v>
      </c>
    </row>
    <row r="21" spans="1:9" s="38" customFormat="1" x14ac:dyDescent="0.2">
      <c r="A21" s="96" t="s">
        <v>53</v>
      </c>
      <c r="B21" s="34"/>
      <c r="C21" s="71">
        <f t="shared" si="0"/>
        <v>0</v>
      </c>
      <c r="D21" s="128">
        <v>0.4</v>
      </c>
      <c r="E21" s="221">
        <f t="shared" si="3"/>
        <v>0</v>
      </c>
      <c r="F21" s="168">
        <f t="shared" si="1"/>
        <v>0</v>
      </c>
      <c r="G21" s="169">
        <f t="shared" si="2"/>
        <v>0</v>
      </c>
    </row>
    <row r="22" spans="1:9" s="38" customFormat="1" x14ac:dyDescent="0.2">
      <c r="A22" s="96" t="s">
        <v>55</v>
      </c>
      <c r="B22" s="34"/>
      <c r="C22" s="71">
        <f t="shared" si="0"/>
        <v>0</v>
      </c>
      <c r="D22" s="128">
        <v>0.4</v>
      </c>
      <c r="E22" s="221">
        <f t="shared" si="3"/>
        <v>0</v>
      </c>
      <c r="F22" s="168">
        <f t="shared" si="1"/>
        <v>0</v>
      </c>
      <c r="G22" s="169">
        <f t="shared" si="2"/>
        <v>0</v>
      </c>
      <c r="I22" s="218"/>
    </row>
    <row r="23" spans="1:9" s="38" customFormat="1" x14ac:dyDescent="0.2">
      <c r="A23" s="96" t="s">
        <v>57</v>
      </c>
      <c r="B23" s="34"/>
      <c r="C23" s="71">
        <f t="shared" si="0"/>
        <v>0</v>
      </c>
      <c r="D23" s="128">
        <v>0.4</v>
      </c>
      <c r="E23" s="221">
        <f t="shared" si="3"/>
        <v>0</v>
      </c>
      <c r="F23" s="169">
        <f>+-E23</f>
        <v>0</v>
      </c>
      <c r="G23" s="169">
        <f t="shared" si="2"/>
        <v>0</v>
      </c>
    </row>
    <row r="24" spans="1:9" s="38" customFormat="1" x14ac:dyDescent="0.2">
      <c r="A24" s="96" t="s">
        <v>91</v>
      </c>
      <c r="B24" s="34"/>
      <c r="C24" s="71">
        <f t="shared" si="0"/>
        <v>0</v>
      </c>
      <c r="D24" s="128">
        <v>0.4</v>
      </c>
      <c r="E24" s="221">
        <f t="shared" si="3"/>
        <v>0</v>
      </c>
      <c r="F24" s="169">
        <f>+-E24</f>
        <v>0</v>
      </c>
      <c r="G24" s="169">
        <f t="shared" si="2"/>
        <v>0</v>
      </c>
    </row>
    <row r="25" spans="1:9" s="38" customFormat="1" x14ac:dyDescent="0.2">
      <c r="A25" s="96" t="s">
        <v>92</v>
      </c>
      <c r="B25" s="34"/>
      <c r="C25" s="71">
        <f t="shared" si="0"/>
        <v>0</v>
      </c>
      <c r="D25" s="128">
        <v>0.4</v>
      </c>
      <c r="E25" s="221">
        <f t="shared" si="3"/>
        <v>0</v>
      </c>
      <c r="F25" s="169">
        <f>+-E25</f>
        <v>0</v>
      </c>
      <c r="G25" s="169">
        <f t="shared" si="2"/>
        <v>0</v>
      </c>
    </row>
    <row r="26" spans="1:9" s="38" customFormat="1" x14ac:dyDescent="0.2">
      <c r="A26" s="96" t="s">
        <v>93</v>
      </c>
      <c r="B26" s="34"/>
      <c r="C26" s="71">
        <f t="shared" si="0"/>
        <v>0</v>
      </c>
      <c r="D26" s="128">
        <v>0.4</v>
      </c>
      <c r="E26" s="221">
        <f t="shared" si="3"/>
        <v>0</v>
      </c>
      <c r="F26" s="169">
        <f>+-E26</f>
        <v>0</v>
      </c>
      <c r="G26" s="169">
        <f t="shared" si="2"/>
        <v>0</v>
      </c>
    </row>
    <row r="27" spans="1:9" s="38" customFormat="1" x14ac:dyDescent="0.2">
      <c r="A27" s="96" t="s">
        <v>94</v>
      </c>
      <c r="B27" s="106"/>
      <c r="C27" s="71">
        <f t="shared" si="0"/>
        <v>0</v>
      </c>
      <c r="D27" s="128">
        <v>0.4</v>
      </c>
      <c r="E27" s="221">
        <f t="shared" si="3"/>
        <v>0</v>
      </c>
      <c r="F27" s="170">
        <f>+-E27</f>
        <v>0</v>
      </c>
      <c r="G27" s="169">
        <f t="shared" si="2"/>
        <v>0</v>
      </c>
    </row>
    <row r="28" spans="1:9" x14ac:dyDescent="0.2">
      <c r="A28" s="47" t="s">
        <v>95</v>
      </c>
      <c r="B28" s="98">
        <f>SUM(B16:B27)</f>
        <v>19028</v>
      </c>
      <c r="E28" s="97">
        <f>SUM(E16:E27)</f>
        <v>7611.2000000000007</v>
      </c>
      <c r="F28" s="46"/>
      <c r="G28" s="46"/>
    </row>
    <row r="29" spans="1:9" x14ac:dyDescent="0.2">
      <c r="E29" s="131"/>
      <c r="F29" s="46"/>
      <c r="G29" s="46"/>
    </row>
    <row r="30" spans="1:9" x14ac:dyDescent="0.2">
      <c r="E30" s="46"/>
      <c r="F30" s="46"/>
      <c r="G30" s="46"/>
    </row>
    <row r="31" spans="1:9" ht="15" x14ac:dyDescent="0.25">
      <c r="A31" s="231" t="s">
        <v>99</v>
      </c>
      <c r="B31"/>
      <c r="C31"/>
      <c r="D31"/>
      <c r="E31"/>
      <c r="F31"/>
      <c r="G31"/>
      <c r="H31"/>
      <c r="I31"/>
    </row>
    <row r="32" spans="1:9" x14ac:dyDescent="0.2">
      <c r="A32" s="232" t="s">
        <v>16</v>
      </c>
      <c r="B32" s="232" t="s">
        <v>17</v>
      </c>
      <c r="C32" s="232" t="s">
        <v>18</v>
      </c>
      <c r="D32" s="232" t="s">
        <v>100</v>
      </c>
      <c r="E32" s="232" t="s">
        <v>101</v>
      </c>
      <c r="F32" s="232" t="s">
        <v>102</v>
      </c>
      <c r="G32" s="232" t="s">
        <v>20</v>
      </c>
      <c r="H32" s="232" t="s">
        <v>103</v>
      </c>
      <c r="I32" s="232" t="s">
        <v>102</v>
      </c>
    </row>
    <row r="33" spans="1:9" ht="15" x14ac:dyDescent="0.25">
      <c r="A33" s="277" t="s">
        <v>104</v>
      </c>
      <c r="B33" s="277" t="s">
        <v>105</v>
      </c>
      <c r="C33" s="278">
        <v>46055</v>
      </c>
      <c r="D33" s="279">
        <v>15000</v>
      </c>
      <c r="E33" s="280">
        <v>1</v>
      </c>
      <c r="F33" s="281">
        <f>D33*E33</f>
        <v>15000</v>
      </c>
      <c r="G33" s="282">
        <v>46077</v>
      </c>
      <c r="H33" s="283">
        <f>D33</f>
        <v>15000</v>
      </c>
      <c r="I33" s="283">
        <f>H33*E33</f>
        <v>15000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D11A-01E9-41E2-A44E-68A8498C40A2}">
  <sheetPr>
    <pageSetUpPr fitToPage="1"/>
  </sheetPr>
  <dimension ref="A1:AQ62"/>
  <sheetViews>
    <sheetView tabSelected="1" zoomScale="90" zoomScaleNormal="90" workbookViewId="0">
      <pane xSplit="1" ySplit="15" topLeftCell="B16" activePane="bottomRight" state="frozen"/>
      <selection pane="topRight" activeCell="C4" sqref="C4"/>
      <selection pane="bottomLeft" activeCell="C4" sqref="C4"/>
      <selection pane="bottomRight" activeCell="C38" sqref="C37:M38"/>
    </sheetView>
  </sheetViews>
  <sheetFormatPr defaultColWidth="9.28515625" defaultRowHeight="12.75" x14ac:dyDescent="0.2"/>
  <cols>
    <col min="1" max="1" width="39.7109375" style="104" customWidth="1"/>
    <col min="2" max="2" width="13.28515625" style="10" customWidth="1"/>
    <col min="3" max="3" width="24.42578125" style="10" customWidth="1"/>
    <col min="4" max="17" width="13.28515625" style="10" customWidth="1"/>
    <col min="18" max="27" width="13.28515625" style="10" bestFit="1" customWidth="1"/>
    <col min="28" max="28" width="11" style="10" bestFit="1" customWidth="1"/>
    <col min="29" max="29" width="9.28515625" style="10" bestFit="1" customWidth="1"/>
    <col min="30" max="30" width="12.7109375" style="10" bestFit="1" customWidth="1"/>
    <col min="31" max="16384" width="9.28515625" style="10"/>
  </cols>
  <sheetData>
    <row r="1" spans="1:43" ht="13.5" thickBot="1" x14ac:dyDescent="0.25">
      <c r="A1" s="10"/>
    </row>
    <row r="2" spans="1:43" ht="13.5" thickTop="1" x14ac:dyDescent="0.2">
      <c r="A2" s="17"/>
      <c r="B2" s="2" t="str">
        <f>Inputs!B2</f>
        <v>Recruiter Name:</v>
      </c>
      <c r="C2" s="129" t="str">
        <f>Inputs!C2</f>
        <v>Vince Brindisi</v>
      </c>
      <c r="D2" s="12"/>
      <c r="E2" s="12"/>
      <c r="F2" s="39"/>
      <c r="G2" s="13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107" t="str">
        <f>Inputs!B3</f>
        <v>Initials:</v>
      </c>
      <c r="C3" s="129" t="str">
        <f>Inputs!C3</f>
        <v>VB</v>
      </c>
      <c r="D3" s="12"/>
      <c r="E3" s="12"/>
      <c r="F3" s="39"/>
      <c r="G3" s="13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129" t="str">
        <f>Inputs!B4</f>
        <v>Draw Balance:</v>
      </c>
      <c r="C4" s="129">
        <f>Inputs!C4</f>
        <v>-25297.93</v>
      </c>
      <c r="D4" s="12"/>
      <c r="E4" s="12"/>
      <c r="F4" s="39"/>
      <c r="G4" s="13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4" t="str">
        <f>Inputs!B5</f>
        <v>Current Year:</v>
      </c>
      <c r="C5" s="4">
        <f>Inputs!C5</f>
        <v>2026</v>
      </c>
      <c r="D5" s="12"/>
      <c r="E5" s="12"/>
      <c r="F5" s="39"/>
      <c r="G5" s="13"/>
      <c r="I5" s="14"/>
      <c r="J5" s="38"/>
      <c r="L5" s="131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4" t="str">
        <f>Inputs!B6</f>
        <v>Prior Year</v>
      </c>
      <c r="C6" s="4">
        <f>Inputs!C6</f>
        <v>2025</v>
      </c>
      <c r="D6" s="12"/>
      <c r="E6" s="12"/>
      <c r="F6" s="39"/>
      <c r="G6" s="13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31"/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4" t="str">
        <f>Inputs!B7</f>
        <v>Plan:</v>
      </c>
      <c r="C7" s="4" t="str">
        <f>Inputs!C7</f>
        <v>DH Recruiter</v>
      </c>
      <c r="D7" s="12"/>
      <c r="E7" s="12"/>
      <c r="F7" s="39"/>
      <c r="G7" s="13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5" t="str">
        <f>Inputs!B8</f>
        <v>YTD Direct Hire Billings:</v>
      </c>
      <c r="C8" s="5">
        <f>Inputs!C8</f>
        <v>97206.25</v>
      </c>
      <c r="D8" s="12"/>
      <c r="E8" s="12"/>
      <c r="F8" s="39"/>
      <c r="G8" s="13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5" t="str">
        <f>Inputs!B10</f>
        <v>YTD Staffing GM:</v>
      </c>
      <c r="C9" s="5">
        <f>Inputs!C10</f>
        <v>19028</v>
      </c>
      <c r="D9" s="12"/>
      <c r="E9" s="12"/>
      <c r="F9" s="39"/>
      <c r="G9" s="13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5" t="str">
        <f>Inputs!B11</f>
        <v>YTD Cash-In:</v>
      </c>
      <c r="C10" s="5">
        <f>Inputs!C11</f>
        <v>43768.75</v>
      </c>
      <c r="D10" s="12"/>
      <c r="E10" s="12"/>
      <c r="F10" s="39"/>
      <c r="G10" s="13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7" t="str">
        <f>Inputs!B12</f>
        <v>YTD Commissions Earned:</v>
      </c>
      <c r="C11" s="7">
        <f>Inputs!C12</f>
        <v>25118.7</v>
      </c>
      <c r="D11" s="12"/>
      <c r="E11" s="12"/>
      <c r="F11" s="39"/>
      <c r="G11" s="13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3.5" thickTop="1" x14ac:dyDescent="0.2">
      <c r="A12" s="112"/>
    </row>
    <row r="13" spans="1:43" x14ac:dyDescent="0.2">
      <c r="A13" s="112"/>
      <c r="B13" s="99" t="s">
        <v>106</v>
      </c>
      <c r="C13" s="267">
        <v>45672</v>
      </c>
      <c r="D13" s="268">
        <v>45688</v>
      </c>
      <c r="E13" s="268">
        <v>45703</v>
      </c>
      <c r="F13" s="268">
        <v>45716</v>
      </c>
      <c r="G13" s="268">
        <v>45731</v>
      </c>
      <c r="H13" s="268">
        <v>45747</v>
      </c>
      <c r="I13" s="268">
        <v>45762</v>
      </c>
      <c r="J13" s="268">
        <v>45777</v>
      </c>
      <c r="K13" s="268">
        <f>+J13+15</f>
        <v>45792</v>
      </c>
      <c r="L13" s="268">
        <f>+K13+16</f>
        <v>45808</v>
      </c>
      <c r="M13" s="268">
        <f>+L13+15</f>
        <v>45823</v>
      </c>
      <c r="N13" s="268">
        <f>+M13+15</f>
        <v>45838</v>
      </c>
      <c r="O13" s="268">
        <f>+N13+15</f>
        <v>45853</v>
      </c>
      <c r="P13" s="268">
        <f>+O13+16</f>
        <v>45869</v>
      </c>
      <c r="Q13" s="268">
        <f>+P13+15</f>
        <v>45884</v>
      </c>
      <c r="R13" s="268">
        <f>+Q13+16</f>
        <v>45900</v>
      </c>
      <c r="S13" s="268">
        <f>+R13+15</f>
        <v>45915</v>
      </c>
      <c r="T13" s="268">
        <f>+S13+15</f>
        <v>45930</v>
      </c>
      <c r="U13" s="268">
        <f>+T13+15</f>
        <v>45945</v>
      </c>
      <c r="V13" s="268">
        <f>+U13+16</f>
        <v>45961</v>
      </c>
      <c r="W13" s="268">
        <f>+V13+15</f>
        <v>45976</v>
      </c>
      <c r="X13" s="268">
        <f>+W13+15</f>
        <v>45991</v>
      </c>
      <c r="Y13" s="268">
        <f>+X13+15</f>
        <v>46006</v>
      </c>
      <c r="Z13" s="268">
        <f>+Y13+16</f>
        <v>46022</v>
      </c>
      <c r="AA13" s="268">
        <f>+Z13+15</f>
        <v>46037</v>
      </c>
    </row>
    <row r="14" spans="1:43" x14ac:dyDescent="0.2">
      <c r="A14" s="112"/>
      <c r="B14" s="100"/>
      <c r="C14" s="100" t="s">
        <v>107</v>
      </c>
      <c r="D14" s="100" t="s">
        <v>107</v>
      </c>
      <c r="E14" s="100" t="s">
        <v>107</v>
      </c>
      <c r="F14" s="100" t="s">
        <v>107</v>
      </c>
      <c r="G14" s="100" t="s">
        <v>107</v>
      </c>
      <c r="H14" s="100" t="s">
        <v>107</v>
      </c>
      <c r="I14" s="100" t="s">
        <v>107</v>
      </c>
      <c r="J14" s="100" t="s">
        <v>107</v>
      </c>
      <c r="K14" s="100" t="s">
        <v>107</v>
      </c>
      <c r="L14" s="100" t="s">
        <v>107</v>
      </c>
      <c r="M14" s="100" t="s">
        <v>107</v>
      </c>
      <c r="N14" s="100" t="s">
        <v>107</v>
      </c>
      <c r="O14" s="100" t="s">
        <v>107</v>
      </c>
      <c r="P14" s="100" t="s">
        <v>107</v>
      </c>
      <c r="Q14" s="100" t="s">
        <v>107</v>
      </c>
      <c r="R14" s="100" t="s">
        <v>107</v>
      </c>
      <c r="S14" s="100" t="s">
        <v>107</v>
      </c>
      <c r="T14" s="100" t="s">
        <v>107</v>
      </c>
      <c r="U14" s="100" t="s">
        <v>107</v>
      </c>
      <c r="V14" s="100" t="s">
        <v>107</v>
      </c>
      <c r="W14" s="100" t="s">
        <v>107</v>
      </c>
      <c r="X14" s="100" t="s">
        <v>107</v>
      </c>
      <c r="Y14" s="100" t="s">
        <v>107</v>
      </c>
      <c r="Z14" s="100" t="s">
        <v>107</v>
      </c>
      <c r="AA14" s="100" t="s">
        <v>107</v>
      </c>
    </row>
    <row r="15" spans="1:43" x14ac:dyDescent="0.2">
      <c r="A15" s="112"/>
      <c r="B15" s="101"/>
      <c r="C15" s="101" t="s">
        <v>108</v>
      </c>
      <c r="D15" s="101" t="s">
        <v>108</v>
      </c>
      <c r="E15" s="101" t="s">
        <v>108</v>
      </c>
      <c r="F15" s="101" t="s">
        <v>108</v>
      </c>
      <c r="G15" s="101" t="s">
        <v>108</v>
      </c>
      <c r="H15" s="101" t="s">
        <v>108</v>
      </c>
      <c r="I15" s="101" t="s">
        <v>108</v>
      </c>
      <c r="J15" s="101" t="s">
        <v>108</v>
      </c>
      <c r="K15" s="101" t="s">
        <v>108</v>
      </c>
      <c r="L15" s="101" t="s">
        <v>108</v>
      </c>
      <c r="M15" s="101" t="s">
        <v>108</v>
      </c>
      <c r="N15" s="101" t="s">
        <v>108</v>
      </c>
      <c r="O15" s="101" t="s">
        <v>108</v>
      </c>
      <c r="P15" s="101" t="s">
        <v>108</v>
      </c>
      <c r="Q15" s="101" t="s">
        <v>108</v>
      </c>
      <c r="R15" s="101" t="s">
        <v>108</v>
      </c>
      <c r="S15" s="101" t="s">
        <v>108</v>
      </c>
      <c r="T15" s="101" t="s">
        <v>108</v>
      </c>
      <c r="U15" s="101" t="s">
        <v>108</v>
      </c>
      <c r="V15" s="101" t="s">
        <v>108</v>
      </c>
      <c r="W15" s="101" t="s">
        <v>108</v>
      </c>
      <c r="X15" s="101" t="s">
        <v>108</v>
      </c>
      <c r="Y15" s="101" t="s">
        <v>108</v>
      </c>
      <c r="Z15" s="101" t="s">
        <v>108</v>
      </c>
      <c r="AA15" s="101" t="s">
        <v>108</v>
      </c>
    </row>
    <row r="16" spans="1:43" x14ac:dyDescent="0.2">
      <c r="A16" s="116" t="s">
        <v>109</v>
      </c>
      <c r="B16" s="130"/>
      <c r="C16" s="246">
        <v>25400</v>
      </c>
      <c r="D16" s="130"/>
      <c r="E16" s="130">
        <f>+'DH Comm Calc'!E16</f>
        <v>5850</v>
      </c>
      <c r="F16" s="130"/>
      <c r="G16" s="130">
        <f>+'DH Comm Calc'!E17</f>
        <v>3370</v>
      </c>
      <c r="H16" s="130"/>
      <c r="I16" s="130">
        <f>+'DH Comm Calc'!E18</f>
        <v>0</v>
      </c>
      <c r="J16" s="130"/>
      <c r="K16" s="130">
        <f>'DH Comm Calc'!$E19</f>
        <v>0</v>
      </c>
      <c r="L16" s="130"/>
      <c r="M16" s="130">
        <f>'DH Comm Calc'!$E20</f>
        <v>8287.5</v>
      </c>
      <c r="N16" s="130"/>
      <c r="O16" s="130">
        <f>'DH Comm Calc'!$E21</f>
        <v>0</v>
      </c>
      <c r="P16" s="130"/>
      <c r="Q16" s="130">
        <f>'DH Comm Calc'!$E22</f>
        <v>0</v>
      </c>
      <c r="R16" s="130"/>
      <c r="S16" s="130">
        <f>'DH Comm Calc'!$E23</f>
        <v>0</v>
      </c>
      <c r="T16" s="130"/>
      <c r="U16" s="130">
        <f>'DH Comm Calc'!$E24</f>
        <v>0</v>
      </c>
      <c r="V16" s="130"/>
      <c r="W16" s="130">
        <f>'DH Comm Calc'!$E25</f>
        <v>0</v>
      </c>
      <c r="X16" s="130"/>
      <c r="Y16" s="130">
        <f>'DH Comm Calc'!$E26</f>
        <v>0</v>
      </c>
      <c r="Z16" s="130"/>
      <c r="AA16" s="130">
        <f>'DH Comm Calc'!$E27</f>
        <v>0</v>
      </c>
      <c r="AB16" s="131"/>
    </row>
    <row r="17" spans="1:30" x14ac:dyDescent="0.2">
      <c r="A17" s="122" t="s">
        <v>110</v>
      </c>
      <c r="B17" s="132"/>
      <c r="C17" s="248">
        <v>1153.28</v>
      </c>
      <c r="D17" s="132"/>
      <c r="E17" s="132">
        <f>+'Staffing Comm Calc'!E16</f>
        <v>1272</v>
      </c>
      <c r="F17" s="132"/>
      <c r="G17" s="132">
        <f>+'Staffing Comm Calc'!E17</f>
        <v>6339.2000000000007</v>
      </c>
      <c r="H17" s="132"/>
      <c r="I17" s="132">
        <f>+'Staffing Comm Calc'!E18</f>
        <v>0</v>
      </c>
      <c r="J17" s="132"/>
      <c r="K17" s="132">
        <f>'Staffing Comm Calc'!$E19</f>
        <v>0</v>
      </c>
      <c r="L17" s="132"/>
      <c r="M17" s="132">
        <f>'Staffing Comm Calc'!$E20</f>
        <v>0</v>
      </c>
      <c r="N17" s="132"/>
      <c r="O17" s="132">
        <f>'Staffing Comm Calc'!$E21</f>
        <v>0</v>
      </c>
      <c r="P17" s="132"/>
      <c r="Q17" s="132">
        <f>'Staffing Comm Calc'!$E22</f>
        <v>0</v>
      </c>
      <c r="R17" s="132"/>
      <c r="S17" s="132">
        <f>'Staffing Comm Calc'!$E23</f>
        <v>0</v>
      </c>
      <c r="T17" s="132"/>
      <c r="U17" s="132">
        <f>'Staffing Comm Calc'!$E24</f>
        <v>0</v>
      </c>
      <c r="V17" s="132"/>
      <c r="W17" s="132">
        <f>'Staffing Comm Calc'!$E25</f>
        <v>0</v>
      </c>
      <c r="X17" s="132"/>
      <c r="Y17" s="132">
        <f>'Staffing Comm Calc'!$E26</f>
        <v>0</v>
      </c>
      <c r="Z17" s="132"/>
      <c r="AA17" s="132">
        <f>'Staffing Comm Calc'!$E27</f>
        <v>0</v>
      </c>
      <c r="AB17" s="131"/>
    </row>
    <row r="18" spans="1:30" x14ac:dyDescent="0.2">
      <c r="A18" s="117" t="s">
        <v>111</v>
      </c>
      <c r="B18" s="133"/>
      <c r="C18" s="249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1"/>
    </row>
    <row r="19" spans="1:30" x14ac:dyDescent="0.2">
      <c r="A19" s="117" t="s">
        <v>112</v>
      </c>
      <c r="B19" s="133"/>
      <c r="C19" s="249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1"/>
    </row>
    <row r="20" spans="1:30" x14ac:dyDescent="0.2">
      <c r="A20" s="117" t="s">
        <v>113</v>
      </c>
      <c r="B20" s="133"/>
      <c r="C20" s="249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1"/>
    </row>
    <row r="21" spans="1:30" x14ac:dyDescent="0.2">
      <c r="A21" s="120" t="s">
        <v>114</v>
      </c>
      <c r="B21" s="134"/>
      <c r="C21" s="134">
        <f>SUM(C18:C20)</f>
        <v>0</v>
      </c>
      <c r="D21" s="134">
        <f t="shared" ref="D21:AA21" si="0">SUM(D18:D20)</f>
        <v>0</v>
      </c>
      <c r="E21" s="134">
        <f t="shared" si="0"/>
        <v>0</v>
      </c>
      <c r="F21" s="134">
        <f t="shared" si="0"/>
        <v>0</v>
      </c>
      <c r="G21" s="134">
        <f t="shared" si="0"/>
        <v>0</v>
      </c>
      <c r="H21" s="134">
        <f t="shared" si="0"/>
        <v>0</v>
      </c>
      <c r="I21" s="134">
        <f t="shared" si="0"/>
        <v>0</v>
      </c>
      <c r="J21" s="134">
        <f t="shared" si="0"/>
        <v>0</v>
      </c>
      <c r="K21" s="134">
        <f t="shared" si="0"/>
        <v>0</v>
      </c>
      <c r="L21" s="134">
        <f t="shared" si="0"/>
        <v>0</v>
      </c>
      <c r="M21" s="134">
        <f t="shared" si="0"/>
        <v>0</v>
      </c>
      <c r="N21" s="134">
        <f t="shared" si="0"/>
        <v>0</v>
      </c>
      <c r="O21" s="134">
        <f t="shared" si="0"/>
        <v>0</v>
      </c>
      <c r="P21" s="134">
        <f t="shared" si="0"/>
        <v>0</v>
      </c>
      <c r="Q21" s="134">
        <f t="shared" si="0"/>
        <v>0</v>
      </c>
      <c r="R21" s="134">
        <f t="shared" si="0"/>
        <v>0</v>
      </c>
      <c r="S21" s="134">
        <f t="shared" si="0"/>
        <v>0</v>
      </c>
      <c r="T21" s="134">
        <f t="shared" si="0"/>
        <v>0</v>
      </c>
      <c r="U21" s="134">
        <f t="shared" si="0"/>
        <v>0</v>
      </c>
      <c r="V21" s="134">
        <f t="shared" si="0"/>
        <v>0</v>
      </c>
      <c r="W21" s="134">
        <f t="shared" si="0"/>
        <v>0</v>
      </c>
      <c r="X21" s="134">
        <f t="shared" si="0"/>
        <v>0</v>
      </c>
      <c r="Y21" s="134">
        <f t="shared" si="0"/>
        <v>0</v>
      </c>
      <c r="Z21" s="134">
        <f t="shared" si="0"/>
        <v>0</v>
      </c>
      <c r="AA21" s="134">
        <f t="shared" si="0"/>
        <v>0</v>
      </c>
      <c r="AB21" s="131"/>
    </row>
    <row r="22" spans="1:30" x14ac:dyDescent="0.2">
      <c r="A22" s="119" t="s">
        <v>115</v>
      </c>
      <c r="B22" s="135"/>
      <c r="C22" s="250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1"/>
    </row>
    <row r="23" spans="1:30" x14ac:dyDescent="0.2">
      <c r="A23" s="119" t="s">
        <v>116</v>
      </c>
      <c r="B23" s="135"/>
      <c r="C23" s="250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1"/>
    </row>
    <row r="24" spans="1:30" x14ac:dyDescent="0.2">
      <c r="A24" s="119" t="s">
        <v>117</v>
      </c>
      <c r="B24" s="135"/>
      <c r="C24" s="250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1"/>
    </row>
    <row r="25" spans="1:30" x14ac:dyDescent="0.2">
      <c r="A25" s="119" t="s">
        <v>118</v>
      </c>
      <c r="B25" s="135"/>
      <c r="C25" s="250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1"/>
    </row>
    <row r="26" spans="1:30" x14ac:dyDescent="0.2">
      <c r="A26" s="121" t="s">
        <v>119</v>
      </c>
      <c r="B26" s="136"/>
      <c r="C26" s="251">
        <f>SUM(C22:C25)</f>
        <v>0</v>
      </c>
      <c r="D26" s="251">
        <f t="shared" ref="D26:AA26" si="1">SUM(D22:D25)</f>
        <v>0</v>
      </c>
      <c r="E26" s="251">
        <f t="shared" si="1"/>
        <v>0</v>
      </c>
      <c r="F26" s="251">
        <f t="shared" si="1"/>
        <v>0</v>
      </c>
      <c r="G26" s="251">
        <f t="shared" si="1"/>
        <v>0</v>
      </c>
      <c r="H26" s="251">
        <f t="shared" si="1"/>
        <v>0</v>
      </c>
      <c r="I26" s="251">
        <f t="shared" si="1"/>
        <v>0</v>
      </c>
      <c r="J26" s="251">
        <f t="shared" si="1"/>
        <v>0</v>
      </c>
      <c r="K26" s="251">
        <f t="shared" si="1"/>
        <v>0</v>
      </c>
      <c r="L26" s="251">
        <f t="shared" si="1"/>
        <v>0</v>
      </c>
      <c r="M26" s="251">
        <f t="shared" si="1"/>
        <v>0</v>
      </c>
      <c r="N26" s="251">
        <f t="shared" si="1"/>
        <v>0</v>
      </c>
      <c r="O26" s="251">
        <f t="shared" si="1"/>
        <v>0</v>
      </c>
      <c r="P26" s="251">
        <f t="shared" si="1"/>
        <v>0</v>
      </c>
      <c r="Q26" s="251">
        <f t="shared" si="1"/>
        <v>0</v>
      </c>
      <c r="R26" s="251">
        <f t="shared" si="1"/>
        <v>0</v>
      </c>
      <c r="S26" s="251">
        <f t="shared" si="1"/>
        <v>0</v>
      </c>
      <c r="T26" s="251">
        <f t="shared" si="1"/>
        <v>0</v>
      </c>
      <c r="U26" s="251">
        <f t="shared" si="1"/>
        <v>0</v>
      </c>
      <c r="V26" s="251">
        <f t="shared" si="1"/>
        <v>0</v>
      </c>
      <c r="W26" s="251">
        <f t="shared" si="1"/>
        <v>0</v>
      </c>
      <c r="X26" s="251">
        <f t="shared" si="1"/>
        <v>0</v>
      </c>
      <c r="Y26" s="251">
        <f t="shared" si="1"/>
        <v>0</v>
      </c>
      <c r="Z26" s="251">
        <f t="shared" si="1"/>
        <v>0</v>
      </c>
      <c r="AA26" s="251">
        <f t="shared" si="1"/>
        <v>0</v>
      </c>
      <c r="AB26" s="131"/>
    </row>
    <row r="27" spans="1:30" x14ac:dyDescent="0.2">
      <c r="A27" s="118"/>
      <c r="B27" s="138"/>
      <c r="C27" s="252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1"/>
    </row>
    <row r="28" spans="1:30" ht="13.5" thickBot="1" x14ac:dyDescent="0.25">
      <c r="A28" s="114"/>
      <c r="B28" s="139"/>
      <c r="C28" s="253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>
        <f t="shared" ref="AB28:AB33" si="2">SUM(C28:AA28)</f>
        <v>0</v>
      </c>
      <c r="AC28" s="24" t="s">
        <v>120</v>
      </c>
      <c r="AD28" s="102"/>
    </row>
    <row r="29" spans="1:30" s="24" customFormat="1" x14ac:dyDescent="0.2">
      <c r="A29" s="114" t="s">
        <v>121</v>
      </c>
      <c r="B29" s="141"/>
      <c r="C29" s="141">
        <f>C16+C17+C21+C26</f>
        <v>26553.279999999999</v>
      </c>
      <c r="D29" s="141">
        <f>D16+D17+D21+D26</f>
        <v>0</v>
      </c>
      <c r="E29" s="141">
        <f t="shared" ref="E29:AA29" si="3">E16+E17+E21+E26</f>
        <v>7122</v>
      </c>
      <c r="F29" s="141">
        <f t="shared" si="3"/>
        <v>0</v>
      </c>
      <c r="G29" s="141">
        <f>G16+G17+G21+G26</f>
        <v>9709.2000000000007</v>
      </c>
      <c r="H29" s="141">
        <f t="shared" si="3"/>
        <v>0</v>
      </c>
      <c r="I29" s="141">
        <f t="shared" si="3"/>
        <v>0</v>
      </c>
      <c r="J29" s="141">
        <f t="shared" si="3"/>
        <v>0</v>
      </c>
      <c r="K29" s="141">
        <f t="shared" si="3"/>
        <v>0</v>
      </c>
      <c r="L29" s="141">
        <f t="shared" si="3"/>
        <v>0</v>
      </c>
      <c r="M29" s="141">
        <f>M16+M17+M21+M26</f>
        <v>8287.5</v>
      </c>
      <c r="N29" s="141">
        <f t="shared" si="3"/>
        <v>0</v>
      </c>
      <c r="O29" s="141">
        <f t="shared" si="3"/>
        <v>0</v>
      </c>
      <c r="P29" s="141">
        <f t="shared" si="3"/>
        <v>0</v>
      </c>
      <c r="Q29" s="141">
        <f t="shared" si="3"/>
        <v>0</v>
      </c>
      <c r="R29" s="141">
        <f t="shared" si="3"/>
        <v>0</v>
      </c>
      <c r="S29" s="141">
        <f t="shared" si="3"/>
        <v>0</v>
      </c>
      <c r="T29" s="141">
        <f t="shared" si="3"/>
        <v>0</v>
      </c>
      <c r="U29" s="141">
        <f t="shared" si="3"/>
        <v>0</v>
      </c>
      <c r="V29" s="141">
        <f t="shared" si="3"/>
        <v>0</v>
      </c>
      <c r="W29" s="141">
        <f t="shared" si="3"/>
        <v>0</v>
      </c>
      <c r="X29" s="141">
        <f t="shared" si="3"/>
        <v>0</v>
      </c>
      <c r="Y29" s="141">
        <f>Y16+Y17+Y21+Y26</f>
        <v>0</v>
      </c>
      <c r="Z29" s="141">
        <f t="shared" si="3"/>
        <v>0</v>
      </c>
      <c r="AA29" s="141">
        <f t="shared" si="3"/>
        <v>0</v>
      </c>
      <c r="AB29" s="142">
        <f>SUM(C29:AA29)</f>
        <v>51671.979999999996</v>
      </c>
      <c r="AC29" s="24" t="s">
        <v>120</v>
      </c>
      <c r="AD29" s="102" t="s">
        <v>122</v>
      </c>
    </row>
    <row r="30" spans="1:30" s="24" customFormat="1" x14ac:dyDescent="0.2">
      <c r="A30" s="114"/>
      <c r="B30" s="143"/>
      <c r="C30" s="254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0"/>
      <c r="AD30" s="102"/>
    </row>
    <row r="31" spans="1:30" s="24" customFormat="1" x14ac:dyDescent="0.2">
      <c r="A31" s="114" t="s">
        <v>123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275"/>
      <c r="M31" s="275"/>
      <c r="N31" s="275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0">
        <f t="shared" si="2"/>
        <v>0</v>
      </c>
      <c r="AD31" s="102" t="s">
        <v>123</v>
      </c>
    </row>
    <row r="32" spans="1:30" s="24" customFormat="1" x14ac:dyDescent="0.2">
      <c r="A32" s="114" t="s">
        <v>124</v>
      </c>
      <c r="B32" s="144"/>
      <c r="C32" s="144">
        <v>4583.33</v>
      </c>
      <c r="D32" s="144">
        <v>4583.33</v>
      </c>
      <c r="E32" s="144">
        <v>4583.33</v>
      </c>
      <c r="F32" s="144">
        <v>4583.33</v>
      </c>
      <c r="G32" s="144">
        <v>4583.33</v>
      </c>
      <c r="H32" s="144">
        <v>4583.33</v>
      </c>
      <c r="I32" s="144">
        <v>4583.33</v>
      </c>
      <c r="J32" s="144">
        <v>4583.33</v>
      </c>
      <c r="K32" s="144">
        <v>4583.33</v>
      </c>
      <c r="L32" s="144">
        <v>4583.33</v>
      </c>
      <c r="M32" s="144">
        <v>4583.33</v>
      </c>
      <c r="N32" s="144">
        <v>4583.33</v>
      </c>
      <c r="O32" s="144">
        <v>4583.33</v>
      </c>
      <c r="P32" s="144">
        <v>4583.33</v>
      </c>
      <c r="Q32" s="144">
        <v>4583.33</v>
      </c>
      <c r="R32" s="144">
        <v>4583.33</v>
      </c>
      <c r="S32" s="144">
        <v>4583.33</v>
      </c>
      <c r="T32" s="144">
        <v>4583.33</v>
      </c>
      <c r="U32" s="144">
        <v>4583.33</v>
      </c>
      <c r="V32" s="144">
        <v>4583.33</v>
      </c>
      <c r="W32" s="144">
        <v>4583.33</v>
      </c>
      <c r="X32" s="144">
        <v>4583.33</v>
      </c>
      <c r="Y32" s="144">
        <v>4583.33</v>
      </c>
      <c r="Z32" s="144">
        <v>4583.33</v>
      </c>
      <c r="AA32" s="144">
        <v>4583.33</v>
      </c>
      <c r="AB32" s="140">
        <f t="shared" si="2"/>
        <v>114583.25000000003</v>
      </c>
      <c r="AC32" s="152"/>
      <c r="AD32" s="102" t="s">
        <v>125</v>
      </c>
    </row>
    <row r="33" spans="1:30" s="24" customFormat="1" x14ac:dyDescent="0.2">
      <c r="A33" s="114" t="s">
        <v>126</v>
      </c>
      <c r="B33" s="144"/>
      <c r="C33" s="255"/>
      <c r="D33" s="144"/>
      <c r="E33" s="144">
        <v>0</v>
      </c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0">
        <f t="shared" si="2"/>
        <v>0</v>
      </c>
      <c r="AD33" s="102" t="s">
        <v>126</v>
      </c>
    </row>
    <row r="34" spans="1:30" s="24" customFormat="1" x14ac:dyDescent="0.2">
      <c r="A34" s="114" t="s">
        <v>127</v>
      </c>
      <c r="B34" s="137"/>
      <c r="C34" s="137">
        <f t="shared" ref="C34:V34" si="4">SUM(C29:C33)</f>
        <v>31136.61</v>
      </c>
      <c r="D34" s="137">
        <f t="shared" si="4"/>
        <v>4583.33</v>
      </c>
      <c r="E34" s="137">
        <f t="shared" si="4"/>
        <v>11705.33</v>
      </c>
      <c r="F34" s="137">
        <f t="shared" si="4"/>
        <v>4583.33</v>
      </c>
      <c r="G34" s="137">
        <f t="shared" si="4"/>
        <v>14292.53</v>
      </c>
      <c r="H34" s="137">
        <f t="shared" si="4"/>
        <v>4583.33</v>
      </c>
      <c r="I34" s="137">
        <f t="shared" si="4"/>
        <v>4583.33</v>
      </c>
      <c r="J34" s="137">
        <f t="shared" si="4"/>
        <v>4583.33</v>
      </c>
      <c r="K34" s="137">
        <f t="shared" si="4"/>
        <v>4583.33</v>
      </c>
      <c r="L34" s="137">
        <f t="shared" si="4"/>
        <v>4583.33</v>
      </c>
      <c r="M34" s="137">
        <f t="shared" si="4"/>
        <v>12870.83</v>
      </c>
      <c r="N34" s="137">
        <f t="shared" si="4"/>
        <v>4583.33</v>
      </c>
      <c r="O34" s="137">
        <f t="shared" si="4"/>
        <v>4583.33</v>
      </c>
      <c r="P34" s="137">
        <f t="shared" si="4"/>
        <v>4583.33</v>
      </c>
      <c r="Q34" s="137">
        <f t="shared" si="4"/>
        <v>4583.33</v>
      </c>
      <c r="R34" s="137">
        <f t="shared" si="4"/>
        <v>4583.33</v>
      </c>
      <c r="S34" s="137">
        <f t="shared" si="4"/>
        <v>4583.33</v>
      </c>
      <c r="T34" s="137">
        <f t="shared" si="4"/>
        <v>4583.33</v>
      </c>
      <c r="U34" s="137">
        <f t="shared" si="4"/>
        <v>4583.33</v>
      </c>
      <c r="V34" s="137">
        <f t="shared" si="4"/>
        <v>4583.33</v>
      </c>
      <c r="W34" s="137">
        <f>SUM(W29:W33)</f>
        <v>4583.33</v>
      </c>
      <c r="X34" s="137">
        <f>SUM(X29:X33)</f>
        <v>4583.33</v>
      </c>
      <c r="Y34" s="137">
        <f>SUM(Y29:Y33)</f>
        <v>4583.33</v>
      </c>
      <c r="Z34" s="137">
        <f>SUM(Z29:Z33)</f>
        <v>4583.33</v>
      </c>
      <c r="AA34" s="137">
        <f>SUM(AA29:AA33)</f>
        <v>4583.33</v>
      </c>
      <c r="AB34" s="140">
        <f>SUM(AB31:AB33)</f>
        <v>114583.25000000003</v>
      </c>
      <c r="AD34" s="102" t="s">
        <v>128</v>
      </c>
    </row>
    <row r="35" spans="1:30" s="24" customFormat="1" x14ac:dyDescent="0.2">
      <c r="A35" s="114"/>
      <c r="B35" s="138"/>
      <c r="C35" s="252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40"/>
      <c r="AD35" s="102"/>
    </row>
    <row r="36" spans="1:30" s="24" customFormat="1" x14ac:dyDescent="0.2">
      <c r="A36" s="113" t="s">
        <v>129</v>
      </c>
      <c r="B36" s="138"/>
      <c r="C36" s="145">
        <f t="shared" ref="C36:V36" si="5">IF(B39&gt;=0,0,IF((C34+B39)&lt;=$B$44,-(C34-$B$44),B39))</f>
        <v>-6846.12</v>
      </c>
      <c r="D36" s="145">
        <f t="shared" si="5"/>
        <v>0</v>
      </c>
      <c r="E36" s="145">
        <f>IF(D39&gt;=0,0,IF((E34+D39)&lt;=$B$44,-(E34-$B$44),D39))</f>
        <v>-7122</v>
      </c>
      <c r="F36" s="145">
        <f t="shared" si="5"/>
        <v>0</v>
      </c>
      <c r="G36" s="145">
        <f t="shared" si="5"/>
        <v>-9709.2000000000007</v>
      </c>
      <c r="H36" s="145">
        <f t="shared" si="5"/>
        <v>0</v>
      </c>
      <c r="I36" s="145">
        <f t="shared" si="5"/>
        <v>0</v>
      </c>
      <c r="J36" s="145">
        <f t="shared" si="5"/>
        <v>0</v>
      </c>
      <c r="K36" s="145">
        <f t="shared" si="5"/>
        <v>0</v>
      </c>
      <c r="L36" s="145">
        <f t="shared" si="5"/>
        <v>0</v>
      </c>
      <c r="M36" s="145">
        <f t="shared" si="5"/>
        <v>-8287.5</v>
      </c>
      <c r="N36" s="145">
        <f t="shared" si="5"/>
        <v>0</v>
      </c>
      <c r="O36" s="145">
        <f t="shared" si="5"/>
        <v>0</v>
      </c>
      <c r="P36" s="145">
        <f t="shared" si="5"/>
        <v>0</v>
      </c>
      <c r="Q36" s="145">
        <f t="shared" si="5"/>
        <v>0</v>
      </c>
      <c r="R36" s="145">
        <f t="shared" si="5"/>
        <v>0</v>
      </c>
      <c r="S36" s="145">
        <f t="shared" si="5"/>
        <v>0</v>
      </c>
      <c r="T36" s="145">
        <f t="shared" si="5"/>
        <v>0</v>
      </c>
      <c r="U36" s="145">
        <f t="shared" si="5"/>
        <v>0</v>
      </c>
      <c r="V36" s="145">
        <f t="shared" si="5"/>
        <v>0</v>
      </c>
      <c r="W36" s="145">
        <f>IF(V39&gt;=0,0,IF((W34+V39)&lt;=$B$44,-(W34-$B$44),V39))</f>
        <v>0</v>
      </c>
      <c r="X36" s="145">
        <f>IF(W39&gt;=0,0,IF((X34+W39)&lt;=$B$44,-(X34-$B$44),W39))</f>
        <v>0</v>
      </c>
      <c r="Y36" s="145">
        <f>IF(X39&gt;=0,0,IF((Y34+X39)&lt;=$B$44,-(Y34-$B$44),X39))</f>
        <v>0</v>
      </c>
      <c r="Z36" s="145">
        <f>IF(Y39&gt;=0,0,IF((Z34+Y39)&lt;=$B$44,-(Z34-$B$44),Y39))</f>
        <v>0</v>
      </c>
      <c r="AA36" s="145">
        <f>IF(Z39&gt;=0,0,IF((AA34+Z39)&lt;=$B$44,-(AA34-$B$44),Z39))</f>
        <v>0</v>
      </c>
      <c r="AB36" s="140"/>
      <c r="AD36" s="102"/>
    </row>
    <row r="37" spans="1:30" s="24" customFormat="1" x14ac:dyDescent="0.2">
      <c r="A37" s="114" t="s">
        <v>130</v>
      </c>
      <c r="B37" s="146"/>
      <c r="C37" s="146">
        <f t="shared" ref="C37:J37" si="6">C34+C36</f>
        <v>24290.49</v>
      </c>
      <c r="D37" s="146">
        <f t="shared" si="6"/>
        <v>4583.33</v>
      </c>
      <c r="E37" s="146">
        <f>E34+E36</f>
        <v>4583.33</v>
      </c>
      <c r="F37" s="146">
        <f t="shared" si="6"/>
        <v>4583.33</v>
      </c>
      <c r="G37" s="146">
        <f t="shared" si="6"/>
        <v>4583.33</v>
      </c>
      <c r="H37" s="146">
        <f t="shared" si="6"/>
        <v>4583.33</v>
      </c>
      <c r="I37" s="146">
        <f t="shared" si="6"/>
        <v>4583.33</v>
      </c>
      <c r="J37" s="146">
        <f t="shared" si="6"/>
        <v>4583.33</v>
      </c>
      <c r="K37" s="146">
        <f t="shared" ref="K37:V37" si="7">K34+K36</f>
        <v>4583.33</v>
      </c>
      <c r="L37" s="146">
        <f>L34+L36</f>
        <v>4583.33</v>
      </c>
      <c r="M37" s="146">
        <f>M34+M36</f>
        <v>4583.33</v>
      </c>
      <c r="N37" s="146">
        <f t="shared" si="7"/>
        <v>4583.33</v>
      </c>
      <c r="O37" s="146">
        <f t="shared" si="7"/>
        <v>4583.33</v>
      </c>
      <c r="P37" s="146">
        <f t="shared" si="7"/>
        <v>4583.33</v>
      </c>
      <c r="Q37" s="146">
        <f t="shared" si="7"/>
        <v>4583.33</v>
      </c>
      <c r="R37" s="146">
        <f t="shared" si="7"/>
        <v>4583.33</v>
      </c>
      <c r="S37" s="146">
        <f t="shared" si="7"/>
        <v>4583.33</v>
      </c>
      <c r="T37" s="146">
        <f t="shared" si="7"/>
        <v>4583.33</v>
      </c>
      <c r="U37" s="146">
        <f t="shared" si="7"/>
        <v>4583.33</v>
      </c>
      <c r="V37" s="146">
        <f t="shared" si="7"/>
        <v>4583.33</v>
      </c>
      <c r="W37" s="146">
        <f>W34+W36</f>
        <v>4583.33</v>
      </c>
      <c r="X37" s="146">
        <f>X34+X36</f>
        <v>4583.33</v>
      </c>
      <c r="Y37" s="146">
        <f>Y34+Y36</f>
        <v>4583.33</v>
      </c>
      <c r="Z37" s="146">
        <f>Z34+Z36</f>
        <v>4583.33</v>
      </c>
      <c r="AA37" s="146">
        <f>AA34+AA36</f>
        <v>4583.33</v>
      </c>
      <c r="AB37" s="147">
        <f>+AB29+AB34</f>
        <v>166255.23000000004</v>
      </c>
      <c r="AD37" s="102" t="s">
        <v>130</v>
      </c>
    </row>
    <row r="38" spans="1:30" x14ac:dyDescent="0.2">
      <c r="A38" s="115"/>
      <c r="B38" s="131"/>
      <c r="C38" s="247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48"/>
      <c r="AD38" s="103"/>
    </row>
    <row r="39" spans="1:30" x14ac:dyDescent="0.2">
      <c r="A39" s="115" t="s">
        <v>131</v>
      </c>
      <c r="B39" s="235">
        <v>-6846.12</v>
      </c>
      <c r="C39" s="149">
        <f t="shared" ref="C39:I39" si="8">B39-C32-C36</f>
        <v>-4583.3300000000008</v>
      </c>
      <c r="D39" s="149">
        <f t="shared" si="8"/>
        <v>-9166.66</v>
      </c>
      <c r="E39" s="149">
        <f>D39-E32-E36</f>
        <v>-6627.99</v>
      </c>
      <c r="F39" s="149">
        <f t="shared" si="8"/>
        <v>-11211.32</v>
      </c>
      <c r="G39" s="149">
        <f>F39-G32-G36</f>
        <v>-6085.4499999999989</v>
      </c>
      <c r="H39" s="149">
        <f t="shared" si="8"/>
        <v>-10668.779999999999</v>
      </c>
      <c r="I39" s="149">
        <f t="shared" si="8"/>
        <v>-15252.109999999999</v>
      </c>
      <c r="J39" s="149">
        <f t="shared" ref="J39:V39" si="9">I39-J32-J36</f>
        <v>-19835.439999999999</v>
      </c>
      <c r="K39" s="149">
        <f t="shared" si="9"/>
        <v>-24418.769999999997</v>
      </c>
      <c r="L39" s="149">
        <f t="shared" si="9"/>
        <v>-29002.1</v>
      </c>
      <c r="M39" s="149">
        <f t="shared" si="9"/>
        <v>-25297.93</v>
      </c>
      <c r="N39" s="149">
        <f t="shared" si="9"/>
        <v>-29881.260000000002</v>
      </c>
      <c r="O39" s="149">
        <f>N39-O32-O36</f>
        <v>-34464.590000000004</v>
      </c>
      <c r="P39" s="149">
        <f t="shared" si="9"/>
        <v>-39047.920000000006</v>
      </c>
      <c r="Q39" s="149">
        <f t="shared" si="9"/>
        <v>-43631.250000000007</v>
      </c>
      <c r="R39" s="149">
        <f t="shared" si="9"/>
        <v>-48214.580000000009</v>
      </c>
      <c r="S39" s="149">
        <f t="shared" si="9"/>
        <v>-52797.910000000011</v>
      </c>
      <c r="T39" s="149">
        <f t="shared" si="9"/>
        <v>-57381.240000000013</v>
      </c>
      <c r="U39" s="149">
        <f t="shared" si="9"/>
        <v>-61964.570000000014</v>
      </c>
      <c r="V39" s="149">
        <f t="shared" si="9"/>
        <v>-66547.900000000009</v>
      </c>
      <c r="W39" s="149">
        <f>V39-W32-W36</f>
        <v>-71131.23000000001</v>
      </c>
      <c r="X39" s="149">
        <f>W39-X32-X36</f>
        <v>-75714.560000000012</v>
      </c>
      <c r="Y39" s="149">
        <f>X39-Y32-Y36</f>
        <v>-80297.890000000014</v>
      </c>
      <c r="Z39" s="149">
        <f>Y39-Z32-Z36</f>
        <v>-84881.220000000016</v>
      </c>
      <c r="AA39" s="149">
        <f>Z39-AA32-AA36</f>
        <v>-89464.550000000017</v>
      </c>
      <c r="AB39" s="150">
        <f>Z39</f>
        <v>-84881.220000000016</v>
      </c>
      <c r="AD39" s="103" t="s">
        <v>132</v>
      </c>
    </row>
    <row r="40" spans="1:30" x14ac:dyDescent="0.2">
      <c r="E40" s="222">
        <f>+E39+E37</f>
        <v>-2044.6599999999999</v>
      </c>
    </row>
    <row r="41" spans="1:30" x14ac:dyDescent="0.2">
      <c r="A41" s="223" t="s">
        <v>133</v>
      </c>
      <c r="C41" s="222"/>
      <c r="E41" s="222">
        <f>+E37-E32</f>
        <v>0</v>
      </c>
      <c r="G41" s="222">
        <f>+G37-G32</f>
        <v>0</v>
      </c>
      <c r="I41" s="222">
        <f t="shared" ref="I41:T41" si="10">+I37-I32</f>
        <v>0</v>
      </c>
      <c r="J41" s="222">
        <f t="shared" si="10"/>
        <v>0</v>
      </c>
      <c r="K41" s="222">
        <f t="shared" si="10"/>
        <v>0</v>
      </c>
      <c r="L41" s="222">
        <f t="shared" si="10"/>
        <v>0</v>
      </c>
      <c r="M41" s="222">
        <f t="shared" si="10"/>
        <v>0</v>
      </c>
      <c r="N41" s="222">
        <f t="shared" si="10"/>
        <v>0</v>
      </c>
      <c r="O41" s="222">
        <f t="shared" si="10"/>
        <v>0</v>
      </c>
      <c r="P41" s="222">
        <f t="shared" si="10"/>
        <v>0</v>
      </c>
      <c r="Q41" s="222">
        <f t="shared" si="10"/>
        <v>0</v>
      </c>
      <c r="R41" s="222">
        <f t="shared" si="10"/>
        <v>0</v>
      </c>
      <c r="S41" s="222">
        <f t="shared" si="10"/>
        <v>0</v>
      </c>
      <c r="T41" s="222">
        <f t="shared" si="10"/>
        <v>0</v>
      </c>
      <c r="U41" s="222">
        <f>+U37-U32</f>
        <v>0</v>
      </c>
      <c r="W41" s="222">
        <f>+W37-W32</f>
        <v>0</v>
      </c>
      <c r="Y41" s="222">
        <f>+Y37-Y32</f>
        <v>0</v>
      </c>
      <c r="AA41" s="222">
        <f>+AA37-AA32</f>
        <v>0</v>
      </c>
    </row>
    <row r="42" spans="1:30" x14ac:dyDescent="0.2">
      <c r="C42" s="222"/>
      <c r="P42" s="153"/>
      <c r="Q42" s="222"/>
      <c r="W42" s="222"/>
    </row>
    <row r="43" spans="1:30" x14ac:dyDescent="0.2">
      <c r="E43" s="222"/>
      <c r="P43" s="131"/>
    </row>
    <row r="44" spans="1:30" s="125" customFormat="1" x14ac:dyDescent="0.2">
      <c r="A44" s="123" t="s">
        <v>81</v>
      </c>
      <c r="B44" s="124">
        <v>4583.33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54" spans="1:30" s="12" customFormat="1" x14ac:dyDescent="0.2">
      <c r="A54" s="10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s="12" customFormat="1" x14ac:dyDescent="0.2">
      <c r="A55" s="10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s="12" customFormat="1" x14ac:dyDescent="0.2">
      <c r="A56" s="10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s="12" customFormat="1" x14ac:dyDescent="0.2">
      <c r="A57" s="10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s="12" customFormat="1" x14ac:dyDescent="0.2">
      <c r="A58" s="10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s="12" customFormat="1" x14ac:dyDescent="0.2">
      <c r="A59" s="10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s="12" customFormat="1" x14ac:dyDescent="0.2">
      <c r="A60" s="10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s="12" customFormat="1" x14ac:dyDescent="0.2">
      <c r="A61" s="10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s="12" customFormat="1" x14ac:dyDescent="0.2">
      <c r="A62" s="10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</sheetData>
  <pageMargins left="0.25" right="0.25" top="0.5" bottom="0.5" header="0.25" footer="0.25"/>
  <pageSetup scale="7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A982-7C16-4761-BA9A-AFEDF2C31B30}">
  <dimension ref="A1:I15"/>
  <sheetViews>
    <sheetView workbookViewId="0">
      <selection activeCell="D10" sqref="D10"/>
    </sheetView>
  </sheetViews>
  <sheetFormatPr defaultRowHeight="15" x14ac:dyDescent="0.25"/>
  <cols>
    <col min="1" max="1" width="11.5703125" bestFit="1" customWidth="1"/>
    <col min="2" max="2" width="9.5703125" bestFit="1" customWidth="1"/>
    <col min="7" max="8" width="12.5703125" bestFit="1" customWidth="1"/>
  </cols>
  <sheetData>
    <row r="1" spans="1:9" x14ac:dyDescent="0.25">
      <c r="A1" s="91">
        <v>0</v>
      </c>
      <c r="B1" s="92">
        <v>0</v>
      </c>
      <c r="C1" s="93">
        <v>0.5</v>
      </c>
    </row>
    <row r="2" spans="1:9" x14ac:dyDescent="0.25">
      <c r="A2" s="94">
        <v>50000</v>
      </c>
      <c r="B2" s="92">
        <f t="shared" ref="B2:B7" si="0">+B1+C1*(A2-A1)</f>
        <v>25000</v>
      </c>
      <c r="C2" s="95">
        <v>0.5</v>
      </c>
    </row>
    <row r="3" spans="1:9" x14ac:dyDescent="0.25">
      <c r="A3" s="94">
        <v>75000</v>
      </c>
      <c r="B3" s="92">
        <f t="shared" si="0"/>
        <v>37500</v>
      </c>
      <c r="C3" s="93">
        <v>0.5</v>
      </c>
      <c r="D3" s="89" t="s">
        <v>134</v>
      </c>
      <c r="E3" s="90"/>
      <c r="F3" s="90"/>
    </row>
    <row r="4" spans="1:9" x14ac:dyDescent="0.25">
      <c r="A4" s="94">
        <v>100000</v>
      </c>
      <c r="B4" s="92">
        <f t="shared" si="0"/>
        <v>50000</v>
      </c>
      <c r="C4" s="95">
        <v>0.5</v>
      </c>
    </row>
    <row r="5" spans="1:9" x14ac:dyDescent="0.25">
      <c r="A5" s="94">
        <v>125000</v>
      </c>
      <c r="B5" s="92">
        <f t="shared" si="0"/>
        <v>62500</v>
      </c>
      <c r="C5" s="93">
        <v>0.5</v>
      </c>
    </row>
    <row r="6" spans="1:9" x14ac:dyDescent="0.25">
      <c r="A6" s="94">
        <v>150000</v>
      </c>
      <c r="B6" s="92">
        <f t="shared" si="0"/>
        <v>75000</v>
      </c>
      <c r="C6" s="95">
        <v>0.5</v>
      </c>
    </row>
    <row r="7" spans="1:9" x14ac:dyDescent="0.25">
      <c r="A7" s="94">
        <v>400000</v>
      </c>
      <c r="B7" s="92">
        <f t="shared" si="0"/>
        <v>200000</v>
      </c>
      <c r="C7" s="93">
        <v>0.5</v>
      </c>
    </row>
    <row r="9" spans="1:9" x14ac:dyDescent="0.25">
      <c r="G9" s="87"/>
      <c r="H9" s="88"/>
      <c r="I9" s="85"/>
    </row>
    <row r="10" spans="1:9" x14ac:dyDescent="0.25">
      <c r="G10" s="87"/>
      <c r="H10" s="88"/>
      <c r="I10" s="86"/>
    </row>
    <row r="11" spans="1:9" x14ac:dyDescent="0.25">
      <c r="A11" s="126">
        <v>0</v>
      </c>
      <c r="B11" s="126">
        <v>0</v>
      </c>
      <c r="C11" s="127">
        <v>0.3</v>
      </c>
      <c r="D11" s="89" t="s">
        <v>135</v>
      </c>
      <c r="G11" s="87"/>
      <c r="H11" s="88"/>
      <c r="I11" s="86"/>
    </row>
    <row r="12" spans="1:9" x14ac:dyDescent="0.25">
      <c r="A12" s="126">
        <v>10000</v>
      </c>
      <c r="B12" s="126">
        <f>+B11+C11*(A12-A11)</f>
        <v>3000</v>
      </c>
      <c r="C12" s="127">
        <v>0.3</v>
      </c>
    </row>
    <row r="13" spans="1:9" x14ac:dyDescent="0.25">
      <c r="A13" s="126">
        <v>19999.990000000002</v>
      </c>
      <c r="B13" s="126">
        <f>+B12+C12*(A13-A12)</f>
        <v>5999.9970000000003</v>
      </c>
      <c r="C13" s="127">
        <v>0.3</v>
      </c>
    </row>
    <row r="14" spans="1:9" x14ac:dyDescent="0.25">
      <c r="A14" s="126">
        <v>29999.99</v>
      </c>
      <c r="B14" s="126">
        <f>+B13+C13*(A14-A13)</f>
        <v>8999.9969999999994</v>
      </c>
      <c r="C14" s="127">
        <v>0.3</v>
      </c>
    </row>
    <row r="15" spans="1:9" x14ac:dyDescent="0.25">
      <c r="D15" s="73"/>
      <c r="G15" s="87"/>
      <c r="H15" s="88"/>
      <c r="I15" s="86"/>
    </row>
  </sheetData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BD2B6536E2148B1B9FC82B41486A8" ma:contentTypeVersion="17" ma:contentTypeDescription="Create a new document." ma:contentTypeScope="" ma:versionID="1c5078ecdcc21a1dfcdacbde0f0d1463">
  <xsd:schema xmlns:xsd="http://www.w3.org/2001/XMLSchema" xmlns:xs="http://www.w3.org/2001/XMLSchema" xmlns:p="http://schemas.microsoft.com/office/2006/metadata/properties" xmlns:ns2="63166abc-1a74-4efd-ac8f-a3ee1c865646" xmlns:ns3="e91a8c53-dd72-4253-bdc0-c43403e92abd" targetNamespace="http://schemas.microsoft.com/office/2006/metadata/properties" ma:root="true" ma:fieldsID="58d7f1c5fa016796cc2090957c05616b" ns2:_="" ns3:_="">
    <xsd:import namespace="63166abc-1a74-4efd-ac8f-a3ee1c865646"/>
    <xsd:import namespace="e91a8c53-dd72-4253-bdc0-c43403e92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6abc-1a74-4efd-ac8f-a3ee1c865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c1bfa5b-0cfc-4636-96fe-461e671b4c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8c53-dd72-4253-bdc0-c43403e92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15c8c1-5888-4860-abd9-8bf8b10e4ec5}" ma:internalName="TaxCatchAll" ma:showField="CatchAllData" ma:web="e91a8c53-dd72-4253-bdc0-c43403e92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66abc-1a74-4efd-ac8f-a3ee1c865646">
      <Terms xmlns="http://schemas.microsoft.com/office/infopath/2007/PartnerControls"/>
    </lcf76f155ced4ddcb4097134ff3c332f>
    <TaxCatchAll xmlns="e91a8c53-dd72-4253-bdc0-c43403e92abd" xsi:nil="true"/>
  </documentManagement>
</p:properties>
</file>

<file path=customXml/itemProps1.xml><?xml version="1.0" encoding="utf-8"?>
<ds:datastoreItem xmlns:ds="http://schemas.openxmlformats.org/officeDocument/2006/customXml" ds:itemID="{CE90E604-009D-4523-80BA-8E274C4A40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6abc-1a74-4efd-ac8f-a3ee1c865646"/>
    <ds:schemaRef ds:uri="e91a8c53-dd72-4253-bdc0-c43403e92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F6E348-013A-4B5B-8874-C3CAAF00713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54A5308-81A5-4D43-8AD5-E8C5AE74BD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A4CDFC-50E0-4BBC-B71B-C079893A7454}">
  <ds:schemaRefs>
    <ds:schemaRef ds:uri="http://schemas.microsoft.com/office/2006/documentManagement/types"/>
    <ds:schemaRef ds:uri="http://purl.org/dc/terms/"/>
    <ds:schemaRef ds:uri="63166abc-1a74-4efd-ac8f-a3ee1c865646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e91a8c53-dd72-4253-bdc0-c43403e92ab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Totals</vt:lpstr>
      <vt:lpstr>DH Comm Calc</vt:lpstr>
      <vt:lpstr>Staffing Comm Calc</vt:lpstr>
      <vt:lpstr>Payroll Rec</vt:lpstr>
      <vt:lpstr>Commission Formula</vt:lpstr>
      <vt:lpstr>Inputs!Print_Area</vt:lpstr>
      <vt:lpstr>'Payroll Rec'!Print_Area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JoeN</dc:creator>
  <cp:keywords/>
  <dc:description/>
  <cp:lastModifiedBy>Jane Polto</cp:lastModifiedBy>
  <cp:revision/>
  <dcterms:created xsi:type="dcterms:W3CDTF">2010-06-08T17:44:24Z</dcterms:created>
  <dcterms:modified xsi:type="dcterms:W3CDTF">2026-06-03T17:03:32Z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Jane Polto</vt:lpwstr>
  </property>
  <property fmtid="{D5CDD505-2E9C-101B-9397-08002B2CF9AE}" pid="3" name="Order">
    <vt:lpwstr>834200.000000000</vt:lpwstr>
  </property>
  <property fmtid="{D5CDD505-2E9C-101B-9397-08002B2CF9AE}" pid="4" name="display_urn:schemas-microsoft-com:office:office#Author">
    <vt:lpwstr>Jane Polto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0x010100890BD2B6536E2148B1B9FC82B41486A8</vt:lpwstr>
  </property>
</Properties>
</file>